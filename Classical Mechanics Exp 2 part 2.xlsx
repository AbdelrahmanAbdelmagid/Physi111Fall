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udent information (2)" sheetId="1" r:id="rId4"/>
    <sheet state="visible" name="Notes" sheetId="2" r:id="rId5"/>
    <sheet state="visible" name="Task 1" sheetId="3" r:id="rId6"/>
    <sheet state="visible" name="Task 2" sheetId="4" r:id="rId7"/>
    <sheet state="visible" name="Report" sheetId="5" r:id="rId8"/>
  </sheets>
  <definedNames/>
  <calcPr/>
  <extLst>
    <ext uri="GoogleSheetsCustomDataVersion2">
      <go:sheetsCustomData xmlns:go="http://customooxmlschemas.google.com/" r:id="rId9" roundtripDataChecksum="XvBOLnZtIjTzf1szDCkJ92SPnyIJlA3HF3+NdsZZNTs="/>
    </ext>
  </extLst>
</workbook>
</file>

<file path=xl/sharedStrings.xml><?xml version="1.0" encoding="utf-8"?>
<sst xmlns="http://schemas.openxmlformats.org/spreadsheetml/2006/main" count="318" uniqueCount="129">
  <si>
    <t>Classical Mechanics</t>
  </si>
  <si>
    <t>Exp 2 part 2</t>
  </si>
  <si>
    <t>Kinematics of projectile motion</t>
  </si>
  <si>
    <t>Student(s) Information</t>
  </si>
  <si>
    <t>Student #1</t>
  </si>
  <si>
    <t>Student #2</t>
  </si>
  <si>
    <t>Student #3</t>
  </si>
  <si>
    <t>Student #4</t>
  </si>
  <si>
    <t>Student #5</t>
  </si>
  <si>
    <t>Name</t>
  </si>
  <si>
    <t>Faculty ID</t>
  </si>
  <si>
    <t>Section</t>
  </si>
  <si>
    <t>E-mail address</t>
  </si>
  <si>
    <t>Date</t>
  </si>
  <si>
    <t>Instructor name</t>
  </si>
  <si>
    <t>Attended section</t>
  </si>
  <si>
    <t>TA Name</t>
  </si>
  <si>
    <t>TA Email</t>
  </si>
  <si>
    <t>Dr. Sameh Mahmoud</t>
  </si>
  <si>
    <t>Hadir Saad</t>
  </si>
  <si>
    <t>t-hsaad@zewailcity.edu.eg</t>
  </si>
  <si>
    <t>Area zone</t>
  </si>
  <si>
    <t>Dr. Ahmed Aly</t>
  </si>
  <si>
    <t>Mansour Hassan</t>
  </si>
  <si>
    <t>t-mahassan@zewailcity.edu.eg</t>
  </si>
  <si>
    <t>Labtop No</t>
  </si>
  <si>
    <t>Dr. Amr Mohamed</t>
  </si>
  <si>
    <t>Nora Abdullah</t>
  </si>
  <si>
    <t>t-nabdullah@zewailcity.edu.eg</t>
  </si>
  <si>
    <t>Dr. Hisham Anwer</t>
  </si>
  <si>
    <t>Moamen Saleh</t>
  </si>
  <si>
    <t>t-mshassan@zewailcity.edu.eg</t>
  </si>
  <si>
    <t>File name and
Email subject #1</t>
  </si>
  <si>
    <t>Dr. Ashraf Abdelwahed</t>
  </si>
  <si>
    <t>Ahmed Raafat</t>
  </si>
  <si>
    <t>t-araafat@zewailcity.edu.eg</t>
  </si>
  <si>
    <t>Mohamed Atef</t>
  </si>
  <si>
    <t>t-mdeyab@zewailcity.edu.eg</t>
  </si>
  <si>
    <t>File name and
Email subject #2</t>
  </si>
  <si>
    <t>Mohamed Magdi</t>
  </si>
  <si>
    <t>t-mmagdi@zewailcity.edu.eg</t>
  </si>
  <si>
    <t>Ziad Ahmed</t>
  </si>
  <si>
    <t>t-zahmed@zewailcity.edu.eg</t>
  </si>
  <si>
    <t>File name and
Email subject #3</t>
  </si>
  <si>
    <t>Mohammed Abdelmawla</t>
  </si>
  <si>
    <t>t-mohammed.abdelmawla@zewailcity.edu.eg</t>
  </si>
  <si>
    <t>Khaled Khattab</t>
  </si>
  <si>
    <t>t-khaled.khattab@zewailcity.edu.eg</t>
  </si>
  <si>
    <t>File name and
Email subject #4</t>
  </si>
  <si>
    <t>Mohammed Khairy</t>
  </si>
  <si>
    <t>t-muhammad.muhammad@zewailcity.edu.eg</t>
  </si>
  <si>
    <t>Seif Azab</t>
  </si>
  <si>
    <t>t-seifeldeen.azab@zewailcity.edu.eg</t>
  </si>
  <si>
    <t>File name and
Email subject #5</t>
  </si>
  <si>
    <t>Eng. Ahmed Parsi</t>
  </si>
  <si>
    <t>aparsi@zewailcity.edu.eg</t>
  </si>
  <si>
    <t>Eng. Samar Ahmed</t>
  </si>
  <si>
    <t>sabbas@zewailcity.edu.eg</t>
  </si>
  <si>
    <t>Please read the "Notes" sheet carefully before filling your report and before submitting it.</t>
  </si>
  <si>
    <t>Notes to the instructor *</t>
  </si>
  <si>
    <t>* Any note concering your report you wish to point out to the instructor should be written in the "Notes to the instructor" cells.</t>
  </si>
  <si>
    <t>Notes :</t>
  </si>
  <si>
    <t>The experiment procedures should be carefully read from the lab manual before the lab session.</t>
  </si>
  <si>
    <t>Lab reports should be submitted on time to avoid any grades decductions.</t>
  </si>
  <si>
    <t>Each student should bring his/her laptop and work on his/her data,graphs and calculations in person not in groups.</t>
  </si>
  <si>
    <t>All your calculations and equations used to compute any value should be clearly stated.</t>
  </si>
  <si>
    <t>All equations should be written using the equation design. (Insert -&gt; Equation)</t>
  </si>
  <si>
    <t>All calculated quantities should be expressed with their correct units.</t>
  </si>
  <si>
    <t>The lab report should be readable, well organized and formated.</t>
  </si>
  <si>
    <t>Any note concering your report you wish to point out to the instructor should be written in the "Notes to the instructor" cells.</t>
  </si>
  <si>
    <t>Each graph should contain the following :</t>
  </si>
  <si>
    <t>A scatter plot with all your data points.</t>
  </si>
  <si>
    <t>A descriptive chart title.</t>
  </si>
  <si>
    <t>Axis titles (Physical quantity and its unit).</t>
  </si>
  <si>
    <t>A suitable scale for each of the axis (0.000 or E+10 slopes are not accepted because they are massively rounded).</t>
  </si>
  <si>
    <t>A legend in case of multiple plots on the same graph.</t>
  </si>
  <si>
    <t>A suitable intercept of the trendline (if any).</t>
  </si>
  <si>
    <t>An equation for the trendline on graph (if any).</t>
  </si>
  <si>
    <t>Error bars representing the uncertainty in each reading</t>
  </si>
  <si>
    <t>Task 1</t>
  </si>
  <si>
    <t>Kinematics of projectile motion (Angle change)</t>
  </si>
  <si>
    <t>To prepare our setup we will do the following:  
 -  We estimate an approximate value for the average speed and its uncertainty as a percentage of it. 
- We predict the approximate value for height and range. 
- When varing the angle with small variation, the variation in sin of the angle is negligabely small, so we egnored the uncertainty in the angle.
- The percentage uncertainty in height and range approximately equal to the percentage uncertainty in speed. 
- Based on the previous information, we put one of the rulers at the expected value of the height,  the hanger at the expected value of the range and the two other rulers at the expected mid points between the gun, height ruler and hanger , respectively (With taking account with approximate uncertainty).</t>
  </si>
  <si>
    <t xml:space="preserve"> 2nd mode at Constant angle</t>
  </si>
  <si>
    <t>angle in Rad</t>
  </si>
  <si>
    <t xml:space="preserve">Plot graphs between X and Y (both theoretical and experimental data) , Determine the Height and Range </t>
  </si>
  <si>
    <t>Position X1 (intial point)</t>
  </si>
  <si>
    <t>Position X2 (1st point)</t>
  </si>
  <si>
    <t xml:space="preserve"> Position X3 (Max. Height) </t>
  </si>
  <si>
    <t>Position X4 (3rd point)</t>
  </si>
  <si>
    <t>Position X5 (Max range)</t>
  </si>
  <si>
    <t>Speed (m/s)</t>
  </si>
  <si>
    <t>X (m) :</t>
  </si>
  <si>
    <t>X (m)</t>
  </si>
  <si>
    <t>Y (m) :</t>
  </si>
  <si>
    <t>Y (m)</t>
  </si>
  <si>
    <t xml:space="preserve">Trial 1 </t>
  </si>
  <si>
    <t>Trial 2</t>
  </si>
  <si>
    <t>Average speed</t>
  </si>
  <si>
    <t>Average in Y</t>
  </si>
  <si>
    <t>average in Y</t>
  </si>
  <si>
    <t>Uncertainty in speed</t>
  </si>
  <si>
    <t xml:space="preserve">Uncertainty in Y </t>
  </si>
  <si>
    <t xml:space="preserve">Plot both your graphs here </t>
  </si>
  <si>
    <r>
      <rPr>
        <rFont val="Times New Roman"/>
        <b/>
        <color theme="1"/>
        <sz val="20.0"/>
      </rPr>
      <t>σ</t>
    </r>
    <r>
      <rPr>
        <rFont val="Times New Roman"/>
        <b/>
        <color theme="1"/>
        <sz val="16.0"/>
      </rPr>
      <t>x</t>
    </r>
  </si>
  <si>
    <r>
      <rPr>
        <rFont val="Times New Roman"/>
        <b/>
        <color theme="1"/>
        <sz val="20.0"/>
      </rPr>
      <t>σ</t>
    </r>
    <r>
      <rPr>
        <rFont val="Times New Roman"/>
        <b/>
        <color theme="1"/>
        <sz val="16.0"/>
      </rPr>
      <t>y</t>
    </r>
  </si>
  <si>
    <t>X theor (m)</t>
  </si>
  <si>
    <t>Y theor (m)</t>
  </si>
  <si>
    <t>Initial point</t>
  </si>
  <si>
    <t>1st point</t>
  </si>
  <si>
    <t>Max hight</t>
  </si>
  <si>
    <t>3rd point</t>
  </si>
  <si>
    <t>Max range</t>
  </si>
  <si>
    <r>
      <rPr>
        <rFont val="Times New Roman"/>
        <b/>
        <color theme="1"/>
        <sz val="20.0"/>
      </rPr>
      <t>σ</t>
    </r>
    <r>
      <rPr>
        <rFont val="Times New Roman"/>
        <b/>
        <color theme="1"/>
        <sz val="16.0"/>
      </rPr>
      <t>x</t>
    </r>
  </si>
  <si>
    <r>
      <rPr>
        <rFont val="Times New Roman"/>
        <b/>
        <color theme="1"/>
        <sz val="20.0"/>
      </rPr>
      <t>σ</t>
    </r>
    <r>
      <rPr>
        <rFont val="Times New Roman"/>
        <b/>
        <color theme="1"/>
        <sz val="16.0"/>
      </rPr>
      <t>y</t>
    </r>
  </si>
  <si>
    <r>
      <rPr>
        <rFont val="Times New Roman"/>
        <b/>
        <color theme="1"/>
        <sz val="20.0"/>
      </rPr>
      <t>σ</t>
    </r>
    <r>
      <rPr>
        <rFont val="Times New Roman"/>
        <b/>
        <color theme="1"/>
        <sz val="16.0"/>
      </rPr>
      <t>x</t>
    </r>
  </si>
  <si>
    <r>
      <rPr>
        <rFont val="Times New Roman"/>
        <b/>
        <color theme="1"/>
        <sz val="20.0"/>
      </rPr>
      <t>σ</t>
    </r>
    <r>
      <rPr>
        <rFont val="Times New Roman"/>
        <b/>
        <color theme="1"/>
        <sz val="16.0"/>
      </rPr>
      <t>y</t>
    </r>
  </si>
  <si>
    <t>Task 2</t>
  </si>
  <si>
    <t>Kinematics of projectile motion (Velocity change)</t>
  </si>
  <si>
    <t xml:space="preserve"> 1st mode at Constant angle</t>
  </si>
  <si>
    <r>
      <rPr>
        <rFont val="Times New Roman"/>
        <b/>
        <color theme="1"/>
        <sz val="20.0"/>
      </rPr>
      <t>σ</t>
    </r>
    <r>
      <rPr>
        <rFont val="Times New Roman"/>
        <b/>
        <color theme="1"/>
        <sz val="16.0"/>
      </rPr>
      <t>x</t>
    </r>
  </si>
  <si>
    <r>
      <rPr>
        <rFont val="Times New Roman"/>
        <b/>
        <color theme="1"/>
        <sz val="20.0"/>
      </rPr>
      <t>σ</t>
    </r>
    <r>
      <rPr>
        <rFont val="Times New Roman"/>
        <b/>
        <color theme="1"/>
        <sz val="16.0"/>
      </rPr>
      <t>y</t>
    </r>
  </si>
  <si>
    <t>2nd mode at Constant angle</t>
  </si>
  <si>
    <r>
      <rPr>
        <rFont val="Times New Roman"/>
        <b/>
        <color theme="1"/>
        <sz val="20.0"/>
      </rPr>
      <t>σ</t>
    </r>
    <r>
      <rPr>
        <rFont val="Times New Roman"/>
        <b/>
        <color theme="1"/>
        <sz val="16.0"/>
      </rPr>
      <t>x</t>
    </r>
  </si>
  <si>
    <r>
      <rPr>
        <rFont val="Times New Roman"/>
        <b/>
        <color theme="1"/>
        <sz val="20.0"/>
      </rPr>
      <t>σ</t>
    </r>
    <r>
      <rPr>
        <rFont val="Times New Roman"/>
        <b/>
        <color theme="1"/>
        <sz val="16.0"/>
      </rPr>
      <t>y</t>
    </r>
  </si>
  <si>
    <t>Report</t>
  </si>
  <si>
    <t>1) What are the objectives of this experiment?</t>
  </si>
  <si>
    <t>2) What are the theoritical principles introduced to buit the setup of the experiment?</t>
  </si>
  <si>
    <t>3) What are the precautions required to properly conduct the experiment?</t>
  </si>
  <si>
    <t>4) What is your conclusion? ((Add your graphs with your own comments on it and Describe the possible sources of errors)</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</si>
</sst>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b/>
      <sz val="16.0"/>
      <color theme="1"/>
      <name val="Times New Roman"/>
    </font>
    <font/>
    <font>
      <sz val="11.0"/>
      <color theme="1"/>
      <name val="Calibri"/>
    </font>
    <font>
      <b/>
      <sz val="14.0"/>
      <color theme="1"/>
      <name val="Times New Roman"/>
    </font>
    <font>
      <sz val="12.0"/>
      <color theme="1"/>
      <name val="Calibri"/>
    </font>
    <font>
      <sz val="12.0"/>
      <color theme="1"/>
      <name val="Times New Roman"/>
    </font>
    <font>
      <u/>
      <sz val="11.0"/>
      <color theme="10"/>
      <name val="Calibri"/>
    </font>
    <font>
      <u/>
      <sz val="11.0"/>
      <color theme="10"/>
      <name val="Calibri"/>
    </font>
    <font>
      <sz val="11.0"/>
      <color rgb="FF222222"/>
      <name val="Roboto"/>
    </font>
    <font>
      <sz val="16.0"/>
      <color theme="1"/>
      <name val="Times New Roman"/>
    </font>
    <font>
      <sz val="11.0"/>
      <color rgb="FFFF0000"/>
      <name val="Calibri"/>
    </font>
    <font>
      <b/>
      <u/>
      <sz val="14.0"/>
      <color theme="10"/>
      <name val="Times New Roman"/>
    </font>
    <font>
      <b/>
      <sz val="11.0"/>
      <color theme="1"/>
      <name val="Calibri"/>
    </font>
    <font>
      <b/>
      <sz val="14.0"/>
      <color theme="1"/>
      <name val="Calibri"/>
    </font>
    <font>
      <sz val="11.0"/>
      <color theme="1"/>
      <name val="Times New Roman"/>
    </font>
    <font>
      <b/>
      <sz val="24.0"/>
      <color theme="1"/>
      <name val="Times New Roman"/>
    </font>
    <font>
      <b/>
      <sz val="18.0"/>
      <color theme="1"/>
      <name val="Times New Roman"/>
    </font>
    <font>
      <sz val="14.0"/>
      <color theme="1"/>
      <name val="Times New Roman"/>
    </font>
    <font>
      <b/>
      <sz val="12.0"/>
      <color theme="1"/>
      <name val="Times New Roman"/>
    </font>
    <font>
      <b/>
      <u/>
      <sz val="22.0"/>
      <color theme="1"/>
      <name val="Times New Roman"/>
    </font>
    <font>
      <b/>
      <u/>
      <sz val="22.0"/>
      <color theme="1"/>
      <name val="Times New Roman"/>
    </font>
    <font>
      <b/>
      <u/>
      <sz val="11.0"/>
      <color theme="1"/>
      <name val="Times New Roman"/>
    </font>
    <font>
      <b/>
      <u/>
      <sz val="22.0"/>
      <color theme="1"/>
      <name val="Times New Roman"/>
    </font>
    <font>
      <b/>
      <sz val="11.0"/>
      <color theme="1"/>
      <name val="Times New Roman"/>
    </font>
    <font>
      <b/>
      <sz val="10.0"/>
      <color theme="1"/>
      <name val="Times New Roman"/>
    </font>
    <font>
      <b/>
      <sz val="20.0"/>
      <color theme="1"/>
      <name val="Times New Roman"/>
    </font>
    <font>
      <b/>
      <u/>
      <sz val="22.0"/>
      <color theme="1"/>
      <name val="Times New Roman"/>
    </font>
  </fonts>
  <fills count="6">
    <fill>
      <patternFill patternType="none"/>
    </fill>
    <fill>
      <patternFill patternType="lightGray"/>
    </fill>
    <fill>
      <patternFill patternType="solid">
        <fgColor rgb="FFFFFF00"/>
        <bgColor rgb="FFFFFF00"/>
      </patternFill>
    </fill>
    <fill>
      <patternFill patternType="solid">
        <fgColor rgb="FFFDE9D9"/>
        <bgColor rgb="FFFDE9D9"/>
      </patternFill>
    </fill>
    <fill>
      <patternFill patternType="solid">
        <fgColor rgb="FFDDD9C3"/>
        <bgColor rgb="FFDDD9C3"/>
      </patternFill>
    </fill>
    <fill>
      <patternFill patternType="solid">
        <fgColor rgb="FF00B0F0"/>
        <bgColor rgb="FF00B0F0"/>
      </patternFill>
    </fill>
  </fills>
  <borders count="52">
    <border/>
    <border>
      <bottom style="thin">
        <color rgb="FF000000"/>
      </bottom>
    </border>
    <border>
      <top style="thin">
        <color rgb="FF000000"/>
      </top>
      <bottom style="thin">
        <color rgb="FF000000"/>
      </bottom>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ttom style="thin">
        <color rgb="FF000000"/>
      </bottom>
    </border>
    <border>
      <left style="thin">
        <color rgb="FF000000"/>
      </left>
    </border>
    <border>
      <right style="thin">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rder>
    <border>
      <top style="medium">
        <color rgb="FF000000"/>
      </top>
    </border>
    <border>
      <right/>
      <top style="medium">
        <color rgb="FF000000"/>
      </top>
    </border>
    <border>
      <left style="medium">
        <color rgb="FF000000"/>
      </left>
    </border>
    <border>
      <right/>
    </border>
    <border>
      <left style="medium">
        <color rgb="FF000000"/>
      </left>
      <bottom style="medium">
        <color rgb="FF000000"/>
      </bottom>
    </border>
    <border>
      <bottom style="medium">
        <color rgb="FF000000"/>
      </bottom>
    </border>
    <border>
      <right/>
      <bottom style="medium">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rder>
    <border>
      <right style="medium">
        <color rgb="FF000000"/>
      </right>
      <bottom style="medium">
        <color rgb="FF000000"/>
      </bottom>
    </border>
    <border>
      <left/>
      <top/>
      <bottom style="medium">
        <color rgb="FF000000"/>
      </bottom>
    </border>
    <border>
      <right/>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bottom style="thin">
        <color rgb="FF000000"/>
      </bottom>
    </border>
    <border>
      <left style="thin">
        <color rgb="FF000000"/>
      </left>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medium">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medium">
        <color rgb="FF000000"/>
      </left>
      <top style="thin">
        <color rgb="FF000000"/>
      </top>
      <bottom style="medium">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top/>
      <bottom/>
    </border>
    <border>
      <right/>
      <top/>
      <bottom/>
    </border>
    <border>
      <right style="medium">
        <color rgb="FF000000"/>
      </right>
    </border>
  </borders>
  <cellStyleXfs count="1">
    <xf borderId="0" fillId="0" fontId="0" numFmtId="0" applyAlignment="1" applyFont="1"/>
  </cellStyleXfs>
  <cellXfs count="118">
    <xf borderId="0" fillId="0" fontId="0" numFmtId="0" xfId="0" applyAlignment="1" applyFont="1">
      <alignment readingOrder="0" shrinkToFit="0" vertical="bottom" wrapText="0"/>
    </xf>
    <xf borderId="1" fillId="0" fontId="1" numFmtId="0" xfId="0" applyAlignment="1" applyBorder="1" applyFont="1">
      <alignment horizontal="center" vertical="center"/>
    </xf>
    <xf borderId="1" fillId="0" fontId="2" numFmtId="0" xfId="0" applyBorder="1" applyFont="1"/>
    <xf borderId="0" fillId="0" fontId="3" numFmtId="0" xfId="0" applyAlignment="1" applyFont="1">
      <alignment vertical="center"/>
    </xf>
    <xf borderId="2" fillId="0" fontId="1" numFmtId="0" xfId="0" applyAlignment="1" applyBorder="1" applyFont="1">
      <alignment horizontal="center" vertical="center"/>
    </xf>
    <xf borderId="2" fillId="0" fontId="2" numFmtId="0" xfId="0" applyBorder="1" applyFont="1"/>
    <xf borderId="3" fillId="0" fontId="4" numFmtId="0" xfId="0" applyAlignment="1" applyBorder="1" applyFont="1">
      <alignment horizontal="center" vertical="center"/>
    </xf>
    <xf borderId="4" fillId="0" fontId="4" numFmtId="0" xfId="0" applyAlignment="1" applyBorder="1" applyFont="1">
      <alignment horizontal="center" vertical="center"/>
    </xf>
    <xf borderId="5" fillId="0" fontId="2" numFmtId="0" xfId="0" applyBorder="1" applyFont="1"/>
    <xf borderId="4" fillId="0" fontId="5" numFmtId="0" xfId="0" applyAlignment="1" applyBorder="1" applyFont="1">
      <alignment horizontal="center" vertical="center"/>
    </xf>
    <xf borderId="4" fillId="0" fontId="6" numFmtId="0" xfId="0" applyAlignment="1" applyBorder="1" applyFont="1">
      <alignment horizontal="center"/>
    </xf>
    <xf borderId="4" fillId="0" fontId="7" numFmtId="0" xfId="0" applyAlignment="1" applyBorder="1" applyFont="1">
      <alignment horizontal="center" vertical="center"/>
    </xf>
    <xf borderId="4" fillId="0" fontId="5" numFmtId="14" xfId="0" applyAlignment="1" applyBorder="1" applyFont="1" applyNumberFormat="1">
      <alignment horizontal="center" vertical="center"/>
    </xf>
    <xf borderId="0" fillId="0" fontId="5" numFmtId="0" xfId="0" applyAlignment="1" applyFont="1">
      <alignment horizontal="center" vertical="center"/>
    </xf>
    <xf borderId="0" fillId="0" fontId="3" numFmtId="0" xfId="0" applyAlignment="1" applyFont="1">
      <alignment shrinkToFit="0" wrapText="1"/>
    </xf>
    <xf borderId="0" fillId="0" fontId="4" numFmtId="0" xfId="0" applyFont="1"/>
    <xf borderId="0" fillId="0" fontId="8" numFmtId="0" xfId="0" applyFont="1"/>
    <xf borderId="0" fillId="0" fontId="6" numFmtId="0" xfId="0" applyAlignment="1" applyFont="1">
      <alignment horizontal="left"/>
    </xf>
    <xf borderId="0" fillId="0" fontId="5" numFmtId="0" xfId="0" applyAlignment="1" applyFont="1">
      <alignment horizontal="left"/>
    </xf>
    <xf borderId="0" fillId="0" fontId="9" numFmtId="0" xfId="0" applyFont="1"/>
    <xf borderId="6" fillId="0" fontId="6" numFmtId="0" xfId="0" applyAlignment="1" applyBorder="1" applyFont="1">
      <alignment horizontal="center" shrinkToFit="0" vertical="center" wrapText="1"/>
    </xf>
    <xf borderId="7" fillId="0" fontId="2" numFmtId="0" xfId="0" applyBorder="1" applyFont="1"/>
    <xf borderId="8" fillId="0" fontId="2" numFmtId="0" xfId="0" applyBorder="1" applyFont="1"/>
    <xf borderId="6" fillId="0" fontId="5" numFmtId="0" xfId="0" applyAlignment="1" applyBorder="1" applyFont="1">
      <alignment horizontal="center" vertical="center"/>
    </xf>
    <xf borderId="3" fillId="0" fontId="2" numFmtId="0" xfId="0" applyBorder="1" applyFont="1"/>
    <xf borderId="9" fillId="0" fontId="2" numFmtId="0" xfId="0" applyBorder="1" applyFont="1"/>
    <xf borderId="0" fillId="0" fontId="10" numFmtId="0" xfId="0" applyFont="1"/>
    <xf borderId="6" fillId="0" fontId="6" numFmtId="0" xfId="0" applyAlignment="1" applyBorder="1" applyFont="1">
      <alignment horizontal="center" shrinkToFit="0" wrapText="1"/>
    </xf>
    <xf borderId="0" fillId="0" fontId="11" numFmtId="0" xfId="0" applyAlignment="1" applyFont="1">
      <alignment horizontal="center"/>
    </xf>
    <xf borderId="0" fillId="0" fontId="12" numFmtId="0" xfId="0" applyFont="1"/>
    <xf borderId="4" fillId="0" fontId="13" numFmtId="0" xfId="0" applyAlignment="1" applyBorder="1" applyFont="1">
      <alignment horizontal="left"/>
    </xf>
    <xf borderId="10" fillId="0" fontId="3" numFmtId="0" xfId="0" applyAlignment="1" applyBorder="1" applyFont="1">
      <alignment horizontal="left"/>
    </xf>
    <xf borderId="11" fillId="0" fontId="2" numFmtId="0" xfId="0" applyBorder="1" applyFont="1"/>
    <xf borderId="3" fillId="0" fontId="3" numFmtId="0" xfId="0" applyAlignment="1" applyBorder="1" applyFont="1">
      <alignment horizontal="left"/>
    </xf>
    <xf borderId="0" fillId="0" fontId="3" numFmtId="0" xfId="0" applyFont="1"/>
    <xf borderId="0" fillId="0" fontId="14" numFmtId="0" xfId="0" applyAlignment="1" applyFont="1">
      <alignment horizontal="left"/>
    </xf>
    <xf borderId="0" fillId="0" fontId="3" numFmtId="0" xfId="0" applyAlignment="1" applyFont="1">
      <alignment horizontal="left"/>
    </xf>
    <xf borderId="0" fillId="0" fontId="15" numFmtId="0" xfId="0" applyAlignment="1" applyFont="1">
      <alignment horizontal="center" vertical="center"/>
    </xf>
    <xf borderId="0" fillId="0" fontId="16" numFmtId="0" xfId="0" applyAlignment="1" applyFont="1">
      <alignment vertical="center"/>
    </xf>
    <xf borderId="0" fillId="0" fontId="16" numFmtId="0" xfId="0" applyAlignment="1" applyFont="1">
      <alignment horizontal="center" vertical="center"/>
    </xf>
    <xf borderId="0" fillId="0" fontId="17" numFmtId="0" xfId="0" applyAlignment="1" applyFont="1">
      <alignment shrinkToFit="0" vertical="center" wrapText="1"/>
    </xf>
    <xf borderId="12" fillId="0" fontId="17" numFmtId="0" xfId="0" applyAlignment="1" applyBorder="1" applyFont="1">
      <alignment horizontal="center" shrinkToFit="0" vertical="center" wrapText="1"/>
    </xf>
    <xf borderId="13" fillId="0" fontId="2" numFmtId="0" xfId="0" applyBorder="1" applyFont="1"/>
    <xf borderId="14" fillId="0" fontId="2" numFmtId="0" xfId="0" applyBorder="1" applyFont="1"/>
    <xf borderId="0" fillId="0" fontId="15" numFmtId="0" xfId="0" applyAlignment="1" applyFont="1">
      <alignment vertical="center"/>
    </xf>
    <xf borderId="0" fillId="0" fontId="18" numFmtId="0" xfId="0" applyAlignment="1" applyFont="1">
      <alignment horizontal="center" vertical="center"/>
    </xf>
    <xf borderId="15" fillId="2" fontId="1" numFmtId="0" xfId="0" applyAlignment="1" applyBorder="1" applyFill="1" applyFont="1">
      <alignment horizontal="center" shrinkToFit="0" vertical="center" wrapText="1"/>
    </xf>
    <xf borderId="16" fillId="0" fontId="2" numFmtId="0" xfId="0" applyBorder="1" applyFont="1"/>
    <xf borderId="17" fillId="0" fontId="2" numFmtId="0" xfId="0" applyBorder="1" applyFont="1"/>
    <xf borderId="0" fillId="0" fontId="19" numFmtId="0" xfId="0" applyAlignment="1" applyFont="1">
      <alignment horizontal="center" shrinkToFit="0" vertical="center" wrapText="1"/>
    </xf>
    <xf borderId="18" fillId="0" fontId="2" numFmtId="0" xfId="0" applyBorder="1" applyFont="1"/>
    <xf borderId="19" fillId="0" fontId="2" numFmtId="0" xfId="0" applyBorder="1" applyFont="1"/>
    <xf borderId="0" fillId="0" fontId="6" numFmtId="0" xfId="0" applyAlignment="1" applyFont="1">
      <alignment shrinkToFit="0" vertical="center" wrapText="1"/>
    </xf>
    <xf borderId="0" fillId="0" fontId="6" numFmtId="0" xfId="0" applyAlignment="1" applyFont="1">
      <alignment horizontal="center" vertical="center"/>
    </xf>
    <xf borderId="0" fillId="0" fontId="6" numFmtId="0" xfId="0" applyAlignment="1" applyFont="1">
      <alignment horizontal="center" shrinkToFit="0" vertical="center" wrapText="1"/>
    </xf>
    <xf borderId="0" fillId="0" fontId="1" numFmtId="0" xfId="0" applyAlignment="1" applyFont="1">
      <alignment horizontal="center" vertical="center"/>
    </xf>
    <xf borderId="20" fillId="0" fontId="2" numFmtId="0" xfId="0" applyBorder="1" applyFont="1"/>
    <xf borderId="21" fillId="0" fontId="2" numFmtId="0" xfId="0" applyBorder="1" applyFont="1"/>
    <xf borderId="22" fillId="0" fontId="2" numFmtId="0" xfId="0" applyBorder="1" applyFont="1"/>
    <xf borderId="0" fillId="0" fontId="1" numFmtId="0" xfId="0" applyAlignment="1" applyFont="1">
      <alignment vertical="center"/>
    </xf>
    <xf borderId="0" fillId="0" fontId="18" numFmtId="0" xfId="0" applyAlignment="1" applyFont="1">
      <alignment vertical="center"/>
    </xf>
    <xf borderId="12" fillId="0" fontId="20" numFmtId="0" xfId="0" applyAlignment="1" applyBorder="1" applyFont="1">
      <alignment horizontal="center" shrinkToFit="0" vertical="center" wrapText="1"/>
    </xf>
    <xf borderId="23" fillId="0" fontId="21" numFmtId="0" xfId="0" applyAlignment="1" applyBorder="1" applyFont="1">
      <alignment horizontal="center" shrinkToFit="0" vertical="center" wrapText="1"/>
    </xf>
    <xf borderId="0" fillId="0" fontId="22" numFmtId="0" xfId="0" applyAlignment="1" applyFont="1">
      <alignment horizontal="center" vertical="center"/>
    </xf>
    <xf borderId="0" fillId="0" fontId="23" numFmtId="0" xfId="0" applyAlignment="1" applyFont="1">
      <alignment horizontal="center" shrinkToFit="0" vertical="center" wrapText="1"/>
    </xf>
    <xf borderId="15" fillId="2" fontId="1" numFmtId="0" xfId="0" applyAlignment="1" applyBorder="1" applyFont="1">
      <alignment horizontal="center" vertical="center"/>
    </xf>
    <xf borderId="24" fillId="0" fontId="2" numFmtId="0" xfId="0" applyBorder="1" applyFont="1"/>
    <xf borderId="25" fillId="0" fontId="2" numFmtId="0" xfId="0" applyBorder="1" applyFont="1"/>
    <xf borderId="21" fillId="0" fontId="24" numFmtId="0" xfId="0" applyAlignment="1" applyBorder="1" applyFont="1">
      <alignment horizontal="center" vertical="center"/>
    </xf>
    <xf borderId="26" fillId="3" fontId="24" numFmtId="0" xfId="0" applyAlignment="1" applyBorder="1" applyFill="1" applyFont="1">
      <alignment horizontal="center" vertical="center"/>
    </xf>
    <xf borderId="27" fillId="0" fontId="2" numFmtId="0" xfId="0" applyBorder="1" applyFont="1"/>
    <xf borderId="0" fillId="0" fontId="24" numFmtId="0" xfId="0" applyAlignment="1" applyFont="1">
      <alignment horizontal="right" vertical="center"/>
    </xf>
    <xf borderId="23" fillId="4" fontId="24" numFmtId="0" xfId="0" applyAlignment="1" applyBorder="1" applyFill="1" applyFont="1">
      <alignment horizontal="center" vertical="center"/>
    </xf>
    <xf borderId="28" fillId="0" fontId="24" numFmtId="0" xfId="0" applyAlignment="1" applyBorder="1" applyFont="1">
      <alignment horizontal="right" vertical="center"/>
    </xf>
    <xf borderId="29" fillId="0" fontId="24" numFmtId="0" xfId="0" applyAlignment="1" applyBorder="1" applyFont="1">
      <alignment horizontal="center" vertical="center"/>
    </xf>
    <xf borderId="30" fillId="0" fontId="24" numFmtId="0" xfId="0" applyAlignment="1" applyBorder="1" applyFont="1">
      <alignment horizontal="right" vertical="center"/>
    </xf>
    <xf borderId="30" fillId="3" fontId="24" numFmtId="0" xfId="0" applyAlignment="1" applyBorder="1" applyFont="1">
      <alignment horizontal="right" vertical="center"/>
    </xf>
    <xf borderId="29" fillId="3" fontId="24" numFmtId="0" xfId="0" applyAlignment="1" applyBorder="1" applyFont="1">
      <alignment horizontal="center" vertical="center"/>
    </xf>
    <xf borderId="31" fillId="4" fontId="15" numFmtId="0" xfId="0" applyAlignment="1" applyBorder="1" applyFont="1">
      <alignment horizontal="center" vertical="center"/>
    </xf>
    <xf borderId="0" fillId="0" fontId="24" numFmtId="0" xfId="0" applyAlignment="1" applyFont="1">
      <alignment horizontal="center" vertical="center"/>
    </xf>
    <xf borderId="32" fillId="0" fontId="24" numFmtId="0" xfId="0" applyAlignment="1" applyBorder="1" applyFont="1">
      <alignment horizontal="center" vertical="center"/>
    </xf>
    <xf borderId="33" fillId="3" fontId="24" numFmtId="0" xfId="0" applyAlignment="1" applyBorder="1" applyFont="1">
      <alignment horizontal="center" vertical="center"/>
    </xf>
    <xf borderId="31" fillId="3" fontId="24" numFmtId="0" xfId="0" applyAlignment="1" applyBorder="1" applyFont="1">
      <alignment horizontal="center" vertical="center"/>
    </xf>
    <xf borderId="4" fillId="0" fontId="24" numFmtId="0" xfId="0" applyAlignment="1" applyBorder="1" applyFont="1">
      <alignment horizontal="center" vertical="center"/>
    </xf>
    <xf borderId="34" fillId="4" fontId="15" numFmtId="0" xfId="0" applyAlignment="1" applyBorder="1" applyFont="1">
      <alignment horizontal="center" vertical="center"/>
    </xf>
    <xf borderId="34" fillId="0" fontId="15" numFmtId="0" xfId="0" applyAlignment="1" applyBorder="1" applyFont="1">
      <alignment horizontal="center" vertical="center"/>
    </xf>
    <xf borderId="33" fillId="3" fontId="15" numFmtId="0" xfId="0" applyAlignment="1" applyBorder="1" applyFont="1">
      <alignment horizontal="center" vertical="center"/>
    </xf>
    <xf borderId="34" fillId="3" fontId="15" numFmtId="0" xfId="0" applyAlignment="1" applyBorder="1" applyFont="1">
      <alignment horizontal="center" vertical="center"/>
    </xf>
    <xf borderId="35" fillId="4" fontId="15" numFmtId="0" xfId="0" applyAlignment="1" applyBorder="1" applyFont="1">
      <alignment horizontal="center" vertical="center"/>
    </xf>
    <xf borderId="36" fillId="0" fontId="15" numFmtId="0" xfId="0" applyAlignment="1" applyBorder="1" applyFont="1">
      <alignment horizontal="center" vertical="center"/>
    </xf>
    <xf borderId="37" fillId="4" fontId="15" numFmtId="0" xfId="0" applyAlignment="1" applyBorder="1" applyFont="1">
      <alignment horizontal="center" vertical="center"/>
    </xf>
    <xf borderId="38" fillId="0" fontId="15" numFmtId="0" xfId="0" applyAlignment="1" applyBorder="1" applyFont="1">
      <alignment horizontal="center" vertical="center"/>
    </xf>
    <xf borderId="39" fillId="0" fontId="15" numFmtId="0" xfId="0" applyAlignment="1" applyBorder="1" applyFont="1">
      <alignment horizontal="center" vertical="center"/>
    </xf>
    <xf borderId="40" fillId="0" fontId="15" numFmtId="0" xfId="0" applyAlignment="1" applyBorder="1" applyFont="1">
      <alignment horizontal="center" vertical="center"/>
    </xf>
    <xf borderId="40" fillId="3" fontId="15" numFmtId="0" xfId="0" applyAlignment="1" applyBorder="1" applyFont="1">
      <alignment horizontal="center" vertical="center"/>
    </xf>
    <xf borderId="39" fillId="3" fontId="15" numFmtId="0" xfId="0" applyAlignment="1" applyBorder="1" applyFont="1">
      <alignment horizontal="center" vertical="center"/>
    </xf>
    <xf borderId="41" fillId="0" fontId="15" numFmtId="0" xfId="0" applyAlignment="1" applyBorder="1" applyFont="1">
      <alignment horizontal="center" vertical="center"/>
    </xf>
    <xf borderId="42" fillId="4" fontId="15" numFmtId="0" xfId="0" applyAlignment="1" applyBorder="1" applyFont="1">
      <alignment horizontal="center" vertical="center"/>
    </xf>
    <xf borderId="43" fillId="0" fontId="15" numFmtId="0" xfId="0" applyAlignment="1" applyBorder="1" applyFont="1">
      <alignment horizontal="center" vertical="center"/>
    </xf>
    <xf borderId="44" fillId="0" fontId="15" numFmtId="0" xfId="0" applyAlignment="1" applyBorder="1" applyFont="1">
      <alignment horizontal="center" vertical="center"/>
    </xf>
    <xf borderId="45" fillId="0" fontId="15" numFmtId="0" xfId="0" applyAlignment="1" applyBorder="1" applyFont="1">
      <alignment horizontal="center" vertical="center"/>
    </xf>
    <xf borderId="45" fillId="3" fontId="15" numFmtId="0" xfId="0" applyAlignment="1" applyBorder="1" applyFont="1">
      <alignment horizontal="center" vertical="center"/>
    </xf>
    <xf borderId="44" fillId="3" fontId="15" numFmtId="0" xfId="0" applyAlignment="1" applyBorder="1" applyFont="1">
      <alignment horizontal="center" vertical="center"/>
    </xf>
    <xf borderId="0" fillId="0" fontId="25" numFmtId="0" xfId="0" applyAlignment="1" applyFont="1">
      <alignment horizontal="center" shrinkToFit="0" vertical="center" wrapText="1"/>
    </xf>
    <xf borderId="46" fillId="0" fontId="24" numFmtId="0" xfId="0" applyAlignment="1" applyBorder="1" applyFont="1">
      <alignment horizontal="center" vertical="center"/>
    </xf>
    <xf borderId="47" fillId="0" fontId="24" numFmtId="0" xfId="0" applyAlignment="1" applyBorder="1" applyFont="1">
      <alignment horizontal="center" vertical="center"/>
    </xf>
    <xf borderId="47" fillId="0" fontId="26" numFmtId="0" xfId="0" applyAlignment="1" applyBorder="1" applyFont="1">
      <alignment horizontal="center" vertical="center"/>
    </xf>
    <xf borderId="48" fillId="0" fontId="24" numFmtId="0" xfId="0" applyAlignment="1" applyBorder="1" applyFont="1">
      <alignment horizontal="center" vertical="center"/>
    </xf>
    <xf borderId="23" fillId="5" fontId="15" numFmtId="0" xfId="0" applyAlignment="1" applyBorder="1" applyFill="1" applyFont="1">
      <alignment horizontal="center" vertical="center"/>
    </xf>
    <xf borderId="33" fillId="4" fontId="15" numFmtId="0" xfId="0" applyAlignment="1" applyBorder="1" applyFont="1">
      <alignment horizontal="center" vertical="center"/>
    </xf>
    <xf borderId="49" fillId="3" fontId="24" numFmtId="0" xfId="0" applyAlignment="1" applyBorder="1" applyFont="1">
      <alignment horizontal="center" vertical="center"/>
    </xf>
    <xf borderId="50" fillId="0" fontId="2" numFmtId="0" xfId="0" applyBorder="1" applyFont="1"/>
    <xf borderId="0" fillId="0" fontId="17" numFmtId="0" xfId="0" applyAlignment="1" applyFont="1">
      <alignment horizontal="center" vertical="center"/>
    </xf>
    <xf borderId="51" fillId="0" fontId="2" numFmtId="0" xfId="0" applyBorder="1" applyFont="1"/>
    <xf borderId="12" fillId="0" fontId="27" numFmtId="0" xfId="0" applyAlignment="1" applyBorder="1" applyFont="1">
      <alignment horizontal="center" readingOrder="0" shrinkToFit="0" vertical="center" wrapText="1"/>
    </xf>
    <xf borderId="0" fillId="0" fontId="18" numFmtId="0" xfId="0" applyFont="1"/>
    <xf borderId="0" fillId="0" fontId="18" numFmtId="0" xfId="0" applyAlignment="1" applyFont="1">
      <alignment horizontal="center"/>
    </xf>
    <xf borderId="0" fillId="0" fontId="6" numFmtId="0" xfId="0" applyAlignment="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1152525" cy="12192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t-mahassan@zewailcity.edu.eg" TargetMode="External"/><Relationship Id="rId10" Type="http://schemas.openxmlformats.org/officeDocument/2006/relationships/hyperlink" Target="mailto:t-seifeldeen.azab@zewailcity.edu.eg" TargetMode="External"/><Relationship Id="rId13" Type="http://schemas.openxmlformats.org/officeDocument/2006/relationships/drawing" Target="../drawings/drawing1.xml"/><Relationship Id="rId12" Type="http://schemas.openxmlformats.org/officeDocument/2006/relationships/hyperlink" Target="mailto:sabbas@zewailcity.edu.eg" TargetMode="External"/><Relationship Id="rId1" Type="http://schemas.openxmlformats.org/officeDocument/2006/relationships/hyperlink" Target="mailto:t-hsaad@zewailcity.edu.eg" TargetMode="External"/><Relationship Id="rId2" Type="http://schemas.openxmlformats.org/officeDocument/2006/relationships/hyperlink" Target="mailto:t-mahassan@zewailcity.edu.eg" TargetMode="External"/><Relationship Id="rId3" Type="http://schemas.openxmlformats.org/officeDocument/2006/relationships/hyperlink" Target="mailto:t-nabdullah@zewailcity.edu.eg" TargetMode="External"/><Relationship Id="rId4" Type="http://schemas.openxmlformats.org/officeDocument/2006/relationships/hyperlink" Target="mailto:t-araafat@zewailcity.edu.eg" TargetMode="External"/><Relationship Id="rId9" Type="http://schemas.openxmlformats.org/officeDocument/2006/relationships/hyperlink" Target="mailto:t-muhammad.muhammad@zewailcity.edu.eg" TargetMode="External"/><Relationship Id="rId5" Type="http://schemas.openxmlformats.org/officeDocument/2006/relationships/hyperlink" Target="mailto:t-mdeyab@zewailcity.edu.eg" TargetMode="External"/><Relationship Id="rId6" Type="http://schemas.openxmlformats.org/officeDocument/2006/relationships/hyperlink" Target="mailto:t-mmagdi@zewailcity.edu.eg" TargetMode="External"/><Relationship Id="rId7" Type="http://schemas.openxmlformats.org/officeDocument/2006/relationships/hyperlink" Target="mailto:t-zahmed@zewailcity.edu.eg" TargetMode="External"/><Relationship Id="rId8" Type="http://schemas.openxmlformats.org/officeDocument/2006/relationships/hyperlink" Target="mailto:t-khaled.khattab@zewailcity.edu.e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8" width="8.71"/>
    <col customWidth="1" min="19" max="19" width="11.0"/>
    <col customWidth="1" min="20" max="20" width="14.57"/>
    <col customWidth="1" min="21" max="31" width="8.71"/>
    <col customWidth="1" min="32" max="32" width="9.14"/>
    <col customWidth="1" min="33" max="33" width="26.86"/>
    <col customWidth="1" min="34" max="34" width="28.0"/>
    <col customWidth="1" min="35" max="35" width="40.0"/>
    <col customWidth="1" min="36" max="36" width="8.71"/>
  </cols>
  <sheetData>
    <row r="1" ht="40.5" customHeight="1">
      <c r="A1" s="1" t="s">
        <v>0</v>
      </c>
      <c r="B1" s="2"/>
      <c r="C1" s="2"/>
      <c r="D1" s="2"/>
      <c r="E1" s="2"/>
      <c r="F1" s="2"/>
      <c r="G1" s="2"/>
      <c r="H1" s="2"/>
      <c r="I1" s="2"/>
      <c r="J1" s="2"/>
      <c r="K1" s="2"/>
      <c r="L1" s="2"/>
      <c r="M1" s="2"/>
      <c r="N1" s="2"/>
      <c r="O1" s="2"/>
      <c r="P1" s="2"/>
      <c r="Q1" s="2"/>
      <c r="R1" s="2"/>
      <c r="S1" s="2"/>
      <c r="T1" s="2"/>
      <c r="U1" s="3"/>
      <c r="V1" s="3"/>
      <c r="W1" s="3"/>
      <c r="X1" s="3"/>
      <c r="Y1" s="3"/>
      <c r="Z1" s="3"/>
      <c r="AA1" s="3"/>
      <c r="AB1" s="3"/>
      <c r="AC1" s="3"/>
      <c r="AD1" s="3"/>
      <c r="AE1" s="3"/>
      <c r="AF1" s="3"/>
      <c r="AG1" s="3"/>
      <c r="AH1" s="3"/>
      <c r="AI1" s="3"/>
      <c r="AJ1" s="3"/>
    </row>
    <row r="2" ht="40.5" customHeight="1">
      <c r="A2" s="4" t="s">
        <v>1</v>
      </c>
      <c r="B2" s="5"/>
      <c r="C2" s="5"/>
      <c r="D2" s="5"/>
      <c r="E2" s="5"/>
      <c r="F2" s="5"/>
      <c r="G2" s="5"/>
      <c r="H2" s="5"/>
      <c r="I2" s="5"/>
      <c r="J2" s="5"/>
      <c r="K2" s="5"/>
      <c r="L2" s="5"/>
      <c r="M2" s="5"/>
      <c r="N2" s="5"/>
      <c r="O2" s="5"/>
      <c r="P2" s="5"/>
      <c r="Q2" s="5"/>
      <c r="R2" s="5"/>
      <c r="S2" s="5"/>
      <c r="T2" s="5"/>
      <c r="U2" s="3"/>
      <c r="V2" s="3"/>
      <c r="W2" s="3"/>
      <c r="X2" s="3"/>
      <c r="Y2" s="3"/>
      <c r="Z2" s="3"/>
      <c r="AA2" s="3"/>
      <c r="AB2" s="3"/>
      <c r="AC2" s="3"/>
      <c r="AD2" s="3"/>
      <c r="AE2" s="3"/>
      <c r="AF2" s="3"/>
      <c r="AG2" s="3"/>
      <c r="AH2" s="3"/>
      <c r="AI2" s="3"/>
      <c r="AJ2" s="3"/>
    </row>
    <row r="3" ht="14.25" customHeight="1">
      <c r="A3" s="4" t="s">
        <v>2</v>
      </c>
      <c r="B3" s="5"/>
      <c r="C3" s="5"/>
      <c r="D3" s="5"/>
      <c r="E3" s="5"/>
      <c r="F3" s="5"/>
      <c r="G3" s="5"/>
      <c r="H3" s="5"/>
      <c r="I3" s="5"/>
      <c r="J3" s="5"/>
      <c r="K3" s="5"/>
      <c r="L3" s="5"/>
      <c r="M3" s="5"/>
      <c r="N3" s="5"/>
      <c r="O3" s="5"/>
      <c r="P3" s="5"/>
      <c r="Q3" s="5"/>
      <c r="R3" s="5"/>
      <c r="S3" s="5"/>
      <c r="T3" s="5"/>
    </row>
    <row r="4" ht="14.25" customHeight="1"/>
    <row r="5" ht="20.25" customHeight="1">
      <c r="D5" s="6" t="s">
        <v>3</v>
      </c>
      <c r="E5" s="2"/>
      <c r="F5" s="2"/>
      <c r="G5" s="2"/>
      <c r="H5" s="2"/>
      <c r="I5" s="2"/>
      <c r="J5" s="2"/>
      <c r="K5" s="2"/>
      <c r="L5" s="2"/>
      <c r="M5" s="2"/>
      <c r="N5" s="2"/>
      <c r="O5" s="2"/>
      <c r="P5" s="2"/>
      <c r="Q5" s="2"/>
      <c r="R5" s="2"/>
      <c r="S5" s="2"/>
      <c r="T5" s="2"/>
    </row>
    <row r="6" ht="20.25" customHeight="1">
      <c r="D6" s="7"/>
      <c r="E6" s="8"/>
      <c r="F6" s="9" t="s">
        <v>4</v>
      </c>
      <c r="G6" s="5"/>
      <c r="H6" s="8"/>
      <c r="I6" s="9" t="s">
        <v>5</v>
      </c>
      <c r="J6" s="5"/>
      <c r="K6" s="8"/>
      <c r="L6" s="9" t="s">
        <v>6</v>
      </c>
      <c r="M6" s="5"/>
      <c r="N6" s="8"/>
      <c r="O6" s="9" t="s">
        <v>7</v>
      </c>
      <c r="P6" s="5"/>
      <c r="Q6" s="8"/>
      <c r="R6" s="9" t="s">
        <v>8</v>
      </c>
      <c r="S6" s="5"/>
      <c r="T6" s="8"/>
    </row>
    <row r="7" ht="14.25" customHeight="1">
      <c r="D7" s="10" t="s">
        <v>9</v>
      </c>
      <c r="E7" s="8"/>
      <c r="F7" s="9"/>
      <c r="G7" s="5"/>
      <c r="H7" s="8"/>
      <c r="I7" s="9"/>
      <c r="J7" s="5"/>
      <c r="K7" s="8"/>
      <c r="L7" s="9"/>
      <c r="M7" s="5"/>
      <c r="N7" s="8"/>
      <c r="O7" s="9"/>
      <c r="P7" s="5"/>
      <c r="Q7" s="8"/>
      <c r="R7" s="9"/>
      <c r="S7" s="5"/>
      <c r="T7" s="8"/>
    </row>
    <row r="8" ht="14.25" customHeight="1">
      <c r="D8" s="10" t="s">
        <v>10</v>
      </c>
      <c r="E8" s="8"/>
      <c r="F8" s="9"/>
      <c r="G8" s="5"/>
      <c r="H8" s="8"/>
      <c r="I8" s="9"/>
      <c r="J8" s="5"/>
      <c r="K8" s="8"/>
      <c r="L8" s="9"/>
      <c r="M8" s="5"/>
      <c r="N8" s="8"/>
      <c r="O8" s="9"/>
      <c r="P8" s="5"/>
      <c r="Q8" s="8"/>
      <c r="R8" s="9"/>
      <c r="S8" s="5"/>
      <c r="T8" s="8"/>
    </row>
    <row r="9" ht="15.75" customHeight="1">
      <c r="D9" s="10" t="s">
        <v>11</v>
      </c>
      <c r="E9" s="8"/>
      <c r="F9" s="9"/>
      <c r="G9" s="5"/>
      <c r="H9" s="8"/>
      <c r="I9" s="9"/>
      <c r="J9" s="5"/>
      <c r="K9" s="8"/>
      <c r="L9" s="9"/>
      <c r="M9" s="5"/>
      <c r="N9" s="8"/>
      <c r="O9" s="9"/>
      <c r="P9" s="5"/>
      <c r="Q9" s="8"/>
      <c r="R9" s="9"/>
      <c r="S9" s="5"/>
      <c r="T9" s="8"/>
    </row>
    <row r="10" ht="15.75" customHeight="1">
      <c r="D10" s="10" t="s">
        <v>12</v>
      </c>
      <c r="E10" s="8"/>
      <c r="F10" s="11"/>
      <c r="G10" s="5"/>
      <c r="H10" s="8"/>
      <c r="I10" s="11"/>
      <c r="J10" s="5"/>
      <c r="K10" s="8"/>
      <c r="L10" s="9"/>
      <c r="M10" s="5"/>
      <c r="N10" s="8"/>
      <c r="O10" s="9"/>
      <c r="P10" s="5"/>
      <c r="Q10" s="8"/>
      <c r="R10" s="9"/>
      <c r="S10" s="5"/>
      <c r="T10" s="8"/>
    </row>
    <row r="11" ht="14.25" customHeight="1">
      <c r="D11" s="10" t="s">
        <v>13</v>
      </c>
      <c r="E11" s="8"/>
      <c r="F11" s="12"/>
      <c r="G11" s="5"/>
      <c r="H11" s="5"/>
      <c r="I11" s="5"/>
      <c r="J11" s="5"/>
      <c r="K11" s="5"/>
      <c r="L11" s="5"/>
      <c r="M11" s="5"/>
      <c r="N11" s="8"/>
      <c r="O11" s="13"/>
      <c r="P11" s="14"/>
      <c r="Q11" s="14"/>
      <c r="R11" s="14"/>
      <c r="S11" s="14"/>
    </row>
    <row r="12" ht="14.25" customHeight="1">
      <c r="D12" s="10" t="s">
        <v>14</v>
      </c>
      <c r="E12" s="8"/>
      <c r="F12" s="7"/>
      <c r="G12" s="5"/>
      <c r="H12" s="5"/>
      <c r="I12" s="5"/>
      <c r="J12" s="5"/>
      <c r="K12" s="5"/>
      <c r="L12" s="5"/>
      <c r="M12" s="5"/>
      <c r="N12" s="8"/>
      <c r="O12" s="13"/>
      <c r="P12" s="14"/>
      <c r="Q12" s="14"/>
      <c r="R12" s="14"/>
      <c r="S12" s="14"/>
    </row>
    <row r="13" ht="14.25" customHeight="1">
      <c r="D13" s="10" t="s">
        <v>15</v>
      </c>
      <c r="E13" s="8"/>
      <c r="F13" s="9"/>
      <c r="G13" s="5"/>
      <c r="H13" s="5"/>
      <c r="I13" s="5"/>
      <c r="J13" s="5"/>
      <c r="K13" s="5"/>
      <c r="L13" s="5"/>
      <c r="M13" s="5"/>
      <c r="N13" s="8"/>
      <c r="O13" s="13"/>
      <c r="P13" s="14"/>
      <c r="Q13" s="14"/>
      <c r="R13" s="14"/>
      <c r="S13" s="14"/>
    </row>
    <row r="14" ht="14.25" customHeight="1">
      <c r="D14" s="10" t="s">
        <v>16</v>
      </c>
      <c r="E14" s="8"/>
      <c r="F14" s="9"/>
      <c r="G14" s="5"/>
      <c r="H14" s="5"/>
      <c r="I14" s="5"/>
      <c r="J14" s="5"/>
      <c r="K14" s="5"/>
      <c r="L14" s="5"/>
      <c r="M14" s="5"/>
      <c r="N14" s="8"/>
      <c r="O14" s="13"/>
      <c r="P14" s="14"/>
      <c r="Q14" s="14"/>
      <c r="R14" s="14"/>
      <c r="S14" s="14"/>
      <c r="AG14" s="15" t="s">
        <v>14</v>
      </c>
      <c r="AH14" s="15" t="s">
        <v>16</v>
      </c>
      <c r="AI14" s="15" t="s">
        <v>17</v>
      </c>
    </row>
    <row r="15" ht="14.25" customHeight="1">
      <c r="D15" s="10" t="s">
        <v>17</v>
      </c>
      <c r="E15" s="8"/>
      <c r="F15" s="11" t="str">
        <f>IF((F14&lt;&gt;""),OFFSET($AH$14,MATCH(F14,AH15:AH31,0),1,1),"")</f>
        <v/>
      </c>
      <c r="G15" s="5"/>
      <c r="H15" s="5"/>
      <c r="I15" s="5"/>
      <c r="J15" s="5"/>
      <c r="K15" s="5"/>
      <c r="L15" s="5"/>
      <c r="M15" s="5"/>
      <c r="N15" s="8"/>
      <c r="O15" s="13"/>
      <c r="P15" s="14"/>
      <c r="Q15" s="14"/>
      <c r="R15" s="14"/>
      <c r="S15" s="14"/>
      <c r="AG15" s="15" t="s">
        <v>18</v>
      </c>
      <c r="AH15" s="15" t="s">
        <v>19</v>
      </c>
      <c r="AI15" s="16" t="s">
        <v>20</v>
      </c>
    </row>
    <row r="16" ht="14.25" customHeight="1">
      <c r="D16" s="10" t="s">
        <v>21</v>
      </c>
      <c r="E16" s="8"/>
      <c r="F16" s="9"/>
      <c r="G16" s="5"/>
      <c r="H16" s="5"/>
      <c r="I16" s="5"/>
      <c r="J16" s="5"/>
      <c r="K16" s="5"/>
      <c r="L16" s="5"/>
      <c r="M16" s="5"/>
      <c r="N16" s="8"/>
      <c r="O16" s="13"/>
      <c r="P16" s="14"/>
      <c r="Q16" s="14"/>
      <c r="R16" s="14"/>
      <c r="S16" s="14"/>
      <c r="AG16" s="15" t="s">
        <v>22</v>
      </c>
      <c r="AH16" s="15" t="s">
        <v>23</v>
      </c>
      <c r="AI16" s="16" t="s">
        <v>24</v>
      </c>
    </row>
    <row r="17" ht="14.25" customHeight="1">
      <c r="D17" s="10" t="s">
        <v>25</v>
      </c>
      <c r="E17" s="8"/>
      <c r="F17" s="9"/>
      <c r="G17" s="5"/>
      <c r="H17" s="5"/>
      <c r="I17" s="5"/>
      <c r="J17" s="5"/>
      <c r="K17" s="5"/>
      <c r="L17" s="5"/>
      <c r="M17" s="5"/>
      <c r="N17" s="8"/>
      <c r="O17" s="13"/>
      <c r="P17" s="14"/>
      <c r="Q17" s="14"/>
      <c r="R17" s="14"/>
      <c r="S17" s="14"/>
      <c r="AG17" s="15" t="s">
        <v>26</v>
      </c>
      <c r="AH17" s="15" t="s">
        <v>27</v>
      </c>
      <c r="AI17" s="16" t="s">
        <v>28</v>
      </c>
    </row>
    <row r="18" ht="14.25" customHeight="1">
      <c r="F18" s="17"/>
      <c r="G18" s="17"/>
      <c r="H18" s="18"/>
      <c r="I18" s="18"/>
      <c r="J18" s="18"/>
      <c r="K18" s="18"/>
      <c r="L18" s="18"/>
      <c r="M18" s="18"/>
      <c r="W18" s="19"/>
      <c r="AG18" s="15" t="s">
        <v>29</v>
      </c>
      <c r="AH18" s="15" t="s">
        <v>30</v>
      </c>
      <c r="AI18" s="16" t="s">
        <v>31</v>
      </c>
    </row>
    <row r="19" ht="18.75" customHeight="1">
      <c r="E19" s="20" t="s">
        <v>32</v>
      </c>
      <c r="F19" s="21"/>
      <c r="G19" s="22"/>
      <c r="H19" s="23" t="str">
        <f>IF(AND(F7&lt;&gt;"",F8&lt;&gt;"",F9&lt;&gt;""),CONCATENATE("Section ",F9," - ",A2," - ",F7," - ",F8),"Fill your personal information above")</f>
        <v>Fill your personal information above</v>
      </c>
      <c r="I19" s="21"/>
      <c r="J19" s="21"/>
      <c r="K19" s="21"/>
      <c r="L19" s="21"/>
      <c r="M19" s="22"/>
      <c r="W19" s="19"/>
      <c r="AG19" s="15" t="s">
        <v>33</v>
      </c>
      <c r="AH19" s="15" t="s">
        <v>34</v>
      </c>
      <c r="AI19" s="16" t="s">
        <v>35</v>
      </c>
    </row>
    <row r="20" ht="18.75" customHeight="1">
      <c r="E20" s="24"/>
      <c r="F20" s="2"/>
      <c r="G20" s="25"/>
      <c r="H20" s="24"/>
      <c r="I20" s="2"/>
      <c r="J20" s="2"/>
      <c r="K20" s="2"/>
      <c r="L20" s="2"/>
      <c r="M20" s="25"/>
      <c r="W20" s="19"/>
      <c r="AG20" s="15"/>
      <c r="AH20" s="15" t="s">
        <v>36</v>
      </c>
      <c r="AI20" s="16" t="s">
        <v>37</v>
      </c>
    </row>
    <row r="21" ht="18.75" customHeight="1">
      <c r="A21" s="26"/>
      <c r="E21" s="27" t="s">
        <v>38</v>
      </c>
      <c r="F21" s="21"/>
      <c r="G21" s="22"/>
      <c r="H21" s="23" t="str">
        <f>IF(AND(I7&lt;&gt;"",I8&lt;&gt;"",I9&lt;&gt;""),CONCATENATE("Section ",I9," - ",A2," - ",I7," - ",I8),"Fill your personal information above")</f>
        <v>Fill your personal information above</v>
      </c>
      <c r="I21" s="21"/>
      <c r="J21" s="21"/>
      <c r="K21" s="21"/>
      <c r="L21" s="21"/>
      <c r="M21" s="22"/>
      <c r="W21" s="19"/>
      <c r="AG21" s="15"/>
      <c r="AH21" s="15" t="s">
        <v>39</v>
      </c>
      <c r="AI21" s="16" t="s">
        <v>40</v>
      </c>
    </row>
    <row r="22" ht="18.75" customHeight="1">
      <c r="A22" s="26"/>
      <c r="E22" s="24"/>
      <c r="F22" s="2"/>
      <c r="G22" s="25"/>
      <c r="H22" s="24"/>
      <c r="I22" s="2"/>
      <c r="J22" s="2"/>
      <c r="K22" s="2"/>
      <c r="L22" s="2"/>
      <c r="M22" s="25"/>
      <c r="W22" s="19"/>
      <c r="AG22" s="15"/>
      <c r="AH22" s="15" t="s">
        <v>41</v>
      </c>
      <c r="AI22" s="16" t="s">
        <v>42</v>
      </c>
    </row>
    <row r="23" ht="18.75" customHeight="1">
      <c r="A23" s="26"/>
      <c r="E23" s="27" t="s">
        <v>43</v>
      </c>
      <c r="F23" s="21"/>
      <c r="G23" s="22"/>
      <c r="H23" s="23" t="str">
        <f>IF(AND(L7&lt;&gt;"",L8&lt;&gt;"",L9&lt;&gt;""),CONCATENATE("Section ",L9," - ",A2," - ",L7," - ",L8),"Fill your personal information above")</f>
        <v>Fill your personal information above</v>
      </c>
      <c r="I23" s="21"/>
      <c r="J23" s="21"/>
      <c r="K23" s="21"/>
      <c r="L23" s="21"/>
      <c r="M23" s="22"/>
      <c r="W23" s="19"/>
      <c r="AG23" s="15"/>
      <c r="AH23" s="15" t="s">
        <v>44</v>
      </c>
      <c r="AI23" s="16" t="s">
        <v>45</v>
      </c>
      <c r="AJ23" s="16"/>
    </row>
    <row r="24" ht="18.75" customHeight="1">
      <c r="A24" s="26"/>
      <c r="E24" s="24"/>
      <c r="F24" s="2"/>
      <c r="G24" s="25"/>
      <c r="H24" s="24"/>
      <c r="I24" s="2"/>
      <c r="J24" s="2"/>
      <c r="K24" s="2"/>
      <c r="L24" s="2"/>
      <c r="M24" s="25"/>
      <c r="W24" s="19"/>
      <c r="AG24" s="15"/>
      <c r="AH24" s="15" t="s">
        <v>46</v>
      </c>
      <c r="AI24" s="16" t="s">
        <v>47</v>
      </c>
    </row>
    <row r="25" ht="20.25" customHeight="1">
      <c r="A25" s="26"/>
      <c r="E25" s="27" t="s">
        <v>48</v>
      </c>
      <c r="F25" s="21"/>
      <c r="G25" s="22"/>
      <c r="H25" s="23" t="str">
        <f>IF(AND(O7&lt;&gt;"",O8&lt;&gt;"",O9&lt;&gt;""),CONCATENATE("Section ",O9," -",A2," - ",O7," - ",O8),"Fill your personal information above")</f>
        <v>Fill your personal information above</v>
      </c>
      <c r="I25" s="21"/>
      <c r="J25" s="21"/>
      <c r="K25" s="21"/>
      <c r="L25" s="21"/>
      <c r="M25" s="22"/>
      <c r="W25" s="19"/>
      <c r="AG25" s="15"/>
      <c r="AH25" s="15" t="s">
        <v>49</v>
      </c>
      <c r="AI25" s="16" t="s">
        <v>50</v>
      </c>
    </row>
    <row r="26" ht="14.25" customHeight="1">
      <c r="E26" s="24"/>
      <c r="F26" s="2"/>
      <c r="G26" s="25"/>
      <c r="H26" s="24"/>
      <c r="I26" s="2"/>
      <c r="J26" s="2"/>
      <c r="K26" s="2"/>
      <c r="L26" s="2"/>
      <c r="M26" s="25"/>
      <c r="W26" s="19"/>
      <c r="AG26" s="15"/>
      <c r="AH26" s="15" t="s">
        <v>51</v>
      </c>
      <c r="AI26" s="16" t="s">
        <v>52</v>
      </c>
    </row>
    <row r="27" ht="14.25" customHeight="1">
      <c r="E27" s="27" t="s">
        <v>53</v>
      </c>
      <c r="F27" s="21"/>
      <c r="G27" s="22"/>
      <c r="H27" s="23" t="str">
        <f>IF(AND(R7&lt;&gt;"",R8&lt;&gt;"",R9&lt;&gt;""),CONCATENATE("Section ",R9," - ",A2," - ",R7," - ",R8),"Fill your personal information above")</f>
        <v>Fill your personal information above</v>
      </c>
      <c r="I27" s="21"/>
      <c r="J27" s="21"/>
      <c r="K27" s="21"/>
      <c r="L27" s="21"/>
      <c r="M27" s="22"/>
      <c r="W27" s="16"/>
      <c r="Y27" s="19"/>
      <c r="AG27" s="15"/>
      <c r="AH27" s="15" t="s">
        <v>54</v>
      </c>
      <c r="AI27" s="16" t="s">
        <v>55</v>
      </c>
    </row>
    <row r="28" ht="14.25" customHeight="1">
      <c r="E28" s="24"/>
      <c r="F28" s="2"/>
      <c r="G28" s="25"/>
      <c r="H28" s="24"/>
      <c r="I28" s="2"/>
      <c r="J28" s="2"/>
      <c r="K28" s="2"/>
      <c r="L28" s="2"/>
      <c r="M28" s="25"/>
      <c r="W28" s="16"/>
      <c r="AG28" s="15"/>
      <c r="AH28" s="15" t="s">
        <v>56</v>
      </c>
      <c r="AI28" s="16" t="s">
        <v>57</v>
      </c>
    </row>
    <row r="29" ht="14.25" customHeight="1">
      <c r="W29" s="16"/>
      <c r="AG29" s="15"/>
      <c r="AH29" s="15"/>
      <c r="AI29" s="16"/>
    </row>
    <row r="30" ht="14.25" customHeight="1">
      <c r="E30" s="28" t="s">
        <v>58</v>
      </c>
      <c r="O30" s="28"/>
      <c r="W30" s="16"/>
      <c r="AG30" s="15"/>
      <c r="AH30" s="15"/>
      <c r="AI30" s="29"/>
    </row>
    <row r="31" ht="14.25" customHeight="1">
      <c r="W31" s="16"/>
      <c r="AG31" s="15"/>
      <c r="AH31" s="15"/>
      <c r="AI31" s="29"/>
    </row>
    <row r="32" ht="14.25" customHeight="1"/>
    <row r="33" ht="14.25" customHeight="1">
      <c r="C33" s="30" t="s">
        <v>59</v>
      </c>
      <c r="D33" s="5"/>
      <c r="E33" s="5"/>
      <c r="F33" s="5"/>
      <c r="G33" s="5"/>
      <c r="H33" s="5"/>
      <c r="I33" s="5"/>
      <c r="J33" s="5"/>
      <c r="K33" s="5"/>
      <c r="L33" s="5"/>
      <c r="M33" s="5"/>
      <c r="N33" s="5"/>
      <c r="O33" s="5"/>
      <c r="P33" s="5"/>
      <c r="Q33" s="8"/>
    </row>
    <row r="34" ht="14.25" customHeight="1">
      <c r="C34" s="31"/>
      <c r="Q34" s="32"/>
    </row>
    <row r="35" ht="14.25" customHeight="1">
      <c r="C35" s="31"/>
      <c r="Q35" s="32"/>
    </row>
    <row r="36" ht="14.25" customHeight="1">
      <c r="C36" s="31"/>
      <c r="Q36" s="32"/>
    </row>
    <row r="37" ht="14.25" customHeight="1">
      <c r="C37" s="31"/>
      <c r="Q37" s="32"/>
    </row>
    <row r="38" ht="14.25" customHeight="1">
      <c r="C38" s="31"/>
      <c r="Q38" s="32"/>
    </row>
    <row r="39" ht="14.25" customHeight="1">
      <c r="C39" s="33"/>
      <c r="D39" s="2"/>
      <c r="E39" s="2"/>
      <c r="F39" s="2"/>
      <c r="G39" s="2"/>
      <c r="H39" s="2"/>
      <c r="I39" s="2"/>
      <c r="J39" s="2"/>
      <c r="K39" s="2"/>
      <c r="L39" s="2"/>
      <c r="M39" s="2"/>
      <c r="N39" s="2"/>
      <c r="O39" s="2"/>
      <c r="P39" s="2"/>
      <c r="Q39" s="25"/>
    </row>
    <row r="40" ht="14.25" customHeight="1"/>
    <row r="41" ht="14.25" customHeight="1">
      <c r="C41" s="34" t="s">
        <v>60</v>
      </c>
    </row>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F9:H9"/>
    <mergeCell ref="I9:K9"/>
    <mergeCell ref="D10:E10"/>
    <mergeCell ref="F10:H10"/>
    <mergeCell ref="I10:K10"/>
    <mergeCell ref="D11:E11"/>
    <mergeCell ref="F11:N11"/>
    <mergeCell ref="D12:E12"/>
    <mergeCell ref="F12:N12"/>
    <mergeCell ref="D13:E13"/>
    <mergeCell ref="F13:N13"/>
    <mergeCell ref="D14:E14"/>
    <mergeCell ref="F14:N14"/>
    <mergeCell ref="F15:N15"/>
    <mergeCell ref="E25:G26"/>
    <mergeCell ref="E27:G28"/>
    <mergeCell ref="E19:G20"/>
    <mergeCell ref="H19:M20"/>
    <mergeCell ref="E21:G22"/>
    <mergeCell ref="H21:M22"/>
    <mergeCell ref="E23:G24"/>
    <mergeCell ref="H23:M24"/>
    <mergeCell ref="H25:M26"/>
    <mergeCell ref="C38:Q38"/>
    <mergeCell ref="C39:Q39"/>
    <mergeCell ref="C41:R41"/>
    <mergeCell ref="H27:M28"/>
    <mergeCell ref="E30:N30"/>
    <mergeCell ref="C33:Q33"/>
    <mergeCell ref="C34:Q34"/>
    <mergeCell ref="C35:Q35"/>
    <mergeCell ref="C36:Q36"/>
    <mergeCell ref="C37:Q37"/>
    <mergeCell ref="L6:N6"/>
    <mergeCell ref="O6:Q6"/>
    <mergeCell ref="A1:T1"/>
    <mergeCell ref="A2:T2"/>
    <mergeCell ref="A3:T3"/>
    <mergeCell ref="D5:T5"/>
    <mergeCell ref="F6:H6"/>
    <mergeCell ref="I6:K6"/>
    <mergeCell ref="R6:T6"/>
    <mergeCell ref="D6:E6"/>
    <mergeCell ref="D7:E7"/>
    <mergeCell ref="F7:H7"/>
    <mergeCell ref="I7:K7"/>
    <mergeCell ref="L7:N7"/>
    <mergeCell ref="O7:Q7"/>
    <mergeCell ref="R7:T7"/>
    <mergeCell ref="L9:N9"/>
    <mergeCell ref="O9:Q9"/>
    <mergeCell ref="L10:N10"/>
    <mergeCell ref="O10:Q10"/>
    <mergeCell ref="R10:T10"/>
    <mergeCell ref="D8:E8"/>
    <mergeCell ref="F8:H8"/>
    <mergeCell ref="I8:K8"/>
    <mergeCell ref="L8:N8"/>
    <mergeCell ref="O8:Q8"/>
    <mergeCell ref="R8:T8"/>
    <mergeCell ref="D9:E9"/>
    <mergeCell ref="R9:T9"/>
    <mergeCell ref="D15:E15"/>
    <mergeCell ref="D16:E16"/>
    <mergeCell ref="D17:E17"/>
    <mergeCell ref="F16:N16"/>
    <mergeCell ref="F17:N17"/>
  </mergeCells>
  <dataValidations>
    <dataValidation type="list" allowBlank="1" showErrorMessage="1" sqref="F12">
      <formula1>$AG$15:$AG$18</formula1>
    </dataValidation>
    <dataValidation type="list" allowBlank="1" showErrorMessage="1" sqref="F14">
      <formula1>$AH$15:$AH$31</formula1>
    </dataValidation>
  </dataValidations>
  <hyperlinks>
    <hyperlink r:id="rId1" ref="AI15"/>
    <hyperlink r:id="rId2" ref="AI16"/>
    <hyperlink r:id="rId3" ref="AI17"/>
    <hyperlink r:id="rId4" ref="AI19"/>
    <hyperlink r:id="rId5" ref="AI20"/>
    <hyperlink r:id="rId6" ref="AI21"/>
    <hyperlink r:id="rId7" ref="AI22"/>
    <hyperlink r:id="rId8" ref="AI24"/>
    <hyperlink r:id="rId9" ref="AI25"/>
    <hyperlink r:id="rId10" ref="AI26"/>
    <hyperlink r:id="rId11" ref="AI27"/>
    <hyperlink r:id="rId12" ref="AI28"/>
  </hyperlinks>
  <printOptions/>
  <pageMargins bottom="0.75" footer="0.0" header="0.0" left="0.7" right="0.7" top="0.75"/>
  <pageSetup orientation="portrait"/>
  <drawing r:id="rId1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5" width="9.86"/>
  </cols>
  <sheetData>
    <row r="1" ht="14.25" customHeight="1">
      <c r="A1" s="35" t="s">
        <v>61</v>
      </c>
    </row>
    <row r="2" ht="14.25" customHeight="1">
      <c r="A2" s="34" t="s">
        <v>62</v>
      </c>
    </row>
    <row r="3" ht="14.25" customHeight="1">
      <c r="A3" s="34" t="s">
        <v>63</v>
      </c>
    </row>
    <row r="4" ht="14.25" customHeight="1">
      <c r="A4" s="34" t="s">
        <v>64</v>
      </c>
    </row>
    <row r="5" ht="14.25" customHeight="1">
      <c r="A5" s="34" t="s">
        <v>65</v>
      </c>
    </row>
    <row r="6" ht="14.25" customHeight="1">
      <c r="A6" s="36" t="s">
        <v>66</v>
      </c>
    </row>
    <row r="7" ht="14.25" customHeight="1">
      <c r="A7" s="36" t="s">
        <v>67</v>
      </c>
    </row>
    <row r="8" ht="14.25" customHeight="1">
      <c r="A8" s="34" t="s">
        <v>68</v>
      </c>
    </row>
    <row r="9" ht="14.25" customHeight="1">
      <c r="A9" s="34" t="s">
        <v>69</v>
      </c>
    </row>
    <row r="10" ht="14.25" customHeight="1">
      <c r="A10" s="34" t="s">
        <v>70</v>
      </c>
    </row>
    <row r="11" ht="14.25" customHeight="1">
      <c r="A11" s="34"/>
      <c r="B11" s="36" t="s">
        <v>71</v>
      </c>
    </row>
    <row r="12" ht="14.25" customHeight="1">
      <c r="A12" s="34"/>
      <c r="B12" s="34" t="s">
        <v>72</v>
      </c>
    </row>
    <row r="13" ht="14.25" customHeight="1">
      <c r="A13" s="34"/>
      <c r="B13" s="34" t="s">
        <v>73</v>
      </c>
    </row>
    <row r="14" ht="14.25" customHeight="1">
      <c r="A14" s="34"/>
      <c r="B14" s="34" t="s">
        <v>74</v>
      </c>
    </row>
    <row r="15" ht="14.25" customHeight="1">
      <c r="A15" s="34"/>
      <c r="B15" s="34" t="s">
        <v>75</v>
      </c>
    </row>
    <row r="16" ht="14.25" customHeight="1">
      <c r="A16" s="34"/>
      <c r="B16" s="34" t="s">
        <v>76</v>
      </c>
    </row>
    <row r="17" ht="14.25" customHeight="1">
      <c r="A17" s="34"/>
      <c r="B17" s="34" t="s">
        <v>77</v>
      </c>
    </row>
    <row r="18" ht="14.25" customHeight="1">
      <c r="B18" s="36" t="s">
        <v>78</v>
      </c>
    </row>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A1:O1"/>
    <mergeCell ref="A2:O2"/>
    <mergeCell ref="A3:O3"/>
    <mergeCell ref="A4:O4"/>
    <mergeCell ref="A5:O5"/>
    <mergeCell ref="A6:O6"/>
    <mergeCell ref="A7:O7"/>
    <mergeCell ref="B15:O15"/>
    <mergeCell ref="B16:O16"/>
    <mergeCell ref="B17:O17"/>
    <mergeCell ref="B18:O18"/>
    <mergeCell ref="A8:O8"/>
    <mergeCell ref="A9:O9"/>
    <mergeCell ref="A10:O10"/>
    <mergeCell ref="B11:O11"/>
    <mergeCell ref="B12:O12"/>
    <mergeCell ref="B13:O13"/>
    <mergeCell ref="B14:O14"/>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4"/>
    <col customWidth="1" min="2" max="2" width="16.57"/>
    <col customWidth="1" min="3" max="3" width="35.71"/>
    <col customWidth="1" min="4" max="4" width="20.71"/>
    <col customWidth="1" min="5" max="5" width="19.14"/>
    <col customWidth="1" min="6" max="6" width="26.57"/>
    <col customWidth="1" min="7" max="9" width="18.71"/>
    <col customWidth="1" min="10" max="10" width="23.57"/>
    <col customWidth="1" min="11" max="24" width="18.71"/>
  </cols>
  <sheetData>
    <row r="1" ht="13.5" customHeight="1">
      <c r="A1" s="37"/>
      <c r="B1" s="37"/>
      <c r="C1" s="37"/>
      <c r="D1" s="37"/>
      <c r="E1" s="37"/>
      <c r="F1" s="38"/>
      <c r="G1" s="39" t="s">
        <v>79</v>
      </c>
      <c r="J1" s="38"/>
      <c r="K1" s="38"/>
      <c r="L1" s="39"/>
      <c r="M1" s="39"/>
      <c r="N1" s="39"/>
      <c r="O1" s="37"/>
      <c r="P1" s="37"/>
      <c r="Q1" s="37"/>
      <c r="R1" s="37"/>
      <c r="S1" s="37"/>
      <c r="T1" s="37"/>
      <c r="U1" s="37"/>
      <c r="V1" s="37"/>
      <c r="W1" s="37"/>
      <c r="X1" s="37"/>
    </row>
    <row r="2" ht="54.75" customHeight="1">
      <c r="A2" s="37"/>
      <c r="B2" s="37"/>
      <c r="C2" s="40"/>
      <c r="D2" s="40"/>
      <c r="E2" s="40"/>
      <c r="F2" s="41" t="s">
        <v>80</v>
      </c>
      <c r="G2" s="42"/>
      <c r="H2" s="42"/>
      <c r="I2" s="42"/>
      <c r="J2" s="43"/>
      <c r="K2" s="40"/>
      <c r="L2" s="39"/>
      <c r="M2" s="39"/>
      <c r="N2" s="39"/>
      <c r="O2" s="37"/>
      <c r="P2" s="37"/>
      <c r="Q2" s="37"/>
      <c r="R2" s="37"/>
      <c r="S2" s="37"/>
      <c r="T2" s="37"/>
      <c r="U2" s="37"/>
      <c r="V2" s="37"/>
      <c r="W2" s="37"/>
      <c r="X2" s="37"/>
    </row>
    <row r="3" ht="23.25" customHeight="1">
      <c r="A3" s="44"/>
      <c r="B3" s="44"/>
      <c r="C3" s="44"/>
      <c r="D3" s="44"/>
      <c r="E3" s="37"/>
      <c r="F3" s="37"/>
      <c r="G3" s="45"/>
      <c r="H3" s="45"/>
      <c r="I3" s="45"/>
      <c r="J3" s="45"/>
      <c r="K3" s="37"/>
      <c r="L3" s="37"/>
      <c r="M3" s="37"/>
      <c r="N3" s="37"/>
      <c r="O3" s="37"/>
      <c r="P3" s="37"/>
      <c r="Q3" s="37"/>
      <c r="R3" s="37"/>
      <c r="S3" s="37"/>
      <c r="T3" s="37"/>
      <c r="U3" s="37"/>
      <c r="V3" s="37"/>
      <c r="W3" s="37"/>
      <c r="X3" s="37"/>
    </row>
    <row r="4" ht="16.5" customHeight="1">
      <c r="A4" s="44"/>
      <c r="B4" s="44"/>
      <c r="C4" s="44"/>
      <c r="D4" s="44"/>
      <c r="E4" s="37"/>
      <c r="F4" s="46" t="s">
        <v>81</v>
      </c>
      <c r="G4" s="47"/>
      <c r="H4" s="47"/>
      <c r="I4" s="47"/>
      <c r="J4" s="47"/>
      <c r="K4" s="48"/>
      <c r="L4" s="37"/>
      <c r="M4" s="37"/>
      <c r="N4" s="37"/>
      <c r="O4" s="49"/>
      <c r="P4" s="37"/>
      <c r="Q4" s="37"/>
      <c r="R4" s="37"/>
      <c r="S4" s="49"/>
      <c r="T4" s="37"/>
      <c r="U4" s="37"/>
      <c r="V4" s="37"/>
      <c r="W4" s="37"/>
      <c r="X4" s="37"/>
    </row>
    <row r="5" ht="21.0" customHeight="1">
      <c r="A5" s="44"/>
      <c r="B5" s="44"/>
      <c r="C5" s="44"/>
      <c r="D5" s="44"/>
      <c r="E5" s="37"/>
      <c r="F5" s="50"/>
      <c r="K5" s="51"/>
      <c r="L5" s="37"/>
      <c r="M5" s="52"/>
      <c r="N5" s="53"/>
      <c r="O5" s="53"/>
      <c r="P5" s="54"/>
      <c r="Q5" s="52"/>
      <c r="R5" s="53"/>
      <c r="S5" s="53"/>
      <c r="T5" s="54"/>
      <c r="U5" s="37"/>
      <c r="V5" s="37"/>
      <c r="W5" s="37"/>
      <c r="X5" s="37"/>
    </row>
    <row r="6" ht="21.0" customHeight="1">
      <c r="A6" s="44"/>
      <c r="B6" s="44"/>
      <c r="C6" s="44"/>
      <c r="D6" s="44"/>
      <c r="E6" s="37"/>
      <c r="F6" s="50"/>
      <c r="K6" s="51"/>
      <c r="L6" s="37"/>
      <c r="M6" s="52"/>
      <c r="N6" s="53"/>
      <c r="O6" s="53"/>
      <c r="P6" s="54"/>
      <c r="Q6" s="52"/>
      <c r="R6" s="53"/>
      <c r="S6" s="53"/>
      <c r="T6" s="54"/>
      <c r="U6" s="37"/>
      <c r="V6" s="37"/>
      <c r="W6" s="37"/>
      <c r="X6" s="37"/>
    </row>
    <row r="7" ht="21.0" customHeight="1">
      <c r="A7" s="44"/>
      <c r="B7" s="44"/>
      <c r="C7" s="44"/>
      <c r="D7" s="44"/>
      <c r="E7" s="37"/>
      <c r="F7" s="50"/>
      <c r="K7" s="51"/>
      <c r="L7" s="37"/>
      <c r="M7" s="52"/>
      <c r="N7" s="53"/>
      <c r="O7" s="53"/>
      <c r="P7" s="54"/>
      <c r="Q7" s="52"/>
      <c r="R7" s="53"/>
      <c r="S7" s="53"/>
      <c r="T7" s="54"/>
      <c r="U7" s="37"/>
      <c r="V7" s="37"/>
      <c r="W7" s="37"/>
      <c r="X7" s="37"/>
    </row>
    <row r="8" ht="21.0" customHeight="1">
      <c r="A8" s="44"/>
      <c r="B8" s="44"/>
      <c r="C8" s="44"/>
      <c r="D8" s="44"/>
      <c r="E8" s="37"/>
      <c r="F8" s="50"/>
      <c r="K8" s="51"/>
      <c r="L8" s="37"/>
      <c r="M8" s="52"/>
      <c r="N8" s="53"/>
      <c r="O8" s="53"/>
      <c r="P8" s="54"/>
      <c r="Q8" s="52"/>
      <c r="R8" s="53"/>
      <c r="S8" s="53"/>
      <c r="T8" s="54"/>
      <c r="U8" s="37"/>
      <c r="V8" s="37"/>
      <c r="W8" s="37"/>
      <c r="X8" s="37"/>
    </row>
    <row r="9" ht="21.0" customHeight="1">
      <c r="A9" s="44"/>
      <c r="B9" s="44"/>
      <c r="C9" s="44"/>
      <c r="D9" s="44"/>
      <c r="E9" s="37"/>
      <c r="F9" s="50"/>
      <c r="K9" s="51"/>
      <c r="L9" s="37"/>
      <c r="M9" s="37"/>
      <c r="N9" s="37"/>
      <c r="O9" s="37"/>
      <c r="P9" s="37"/>
      <c r="Q9" s="37"/>
      <c r="R9" s="37"/>
      <c r="S9" s="37"/>
      <c r="T9" s="37"/>
      <c r="U9" s="37"/>
      <c r="V9" s="37"/>
      <c r="W9" s="37"/>
      <c r="X9" s="37"/>
    </row>
    <row r="10" ht="20.25" customHeight="1">
      <c r="A10" s="44"/>
      <c r="B10" s="44"/>
      <c r="C10" s="44"/>
      <c r="D10" s="44"/>
      <c r="E10" s="37"/>
      <c r="F10" s="50"/>
      <c r="K10" s="51"/>
      <c r="L10" s="37"/>
      <c r="M10" s="37"/>
      <c r="N10" s="37"/>
      <c r="O10" s="37"/>
      <c r="P10" s="37"/>
      <c r="Q10" s="37"/>
      <c r="R10" s="37"/>
      <c r="S10" s="37"/>
      <c r="T10" s="37"/>
      <c r="U10" s="37"/>
      <c r="V10" s="37"/>
      <c r="W10" s="37"/>
      <c r="X10" s="37"/>
    </row>
    <row r="11" ht="21.0" customHeight="1">
      <c r="A11" s="44"/>
      <c r="B11" s="44"/>
      <c r="C11" s="44"/>
      <c r="D11" s="44"/>
      <c r="E11" s="37"/>
      <c r="F11" s="50"/>
      <c r="K11" s="51"/>
      <c r="L11" s="37"/>
      <c r="M11" s="37"/>
      <c r="N11" s="37"/>
      <c r="O11" s="37"/>
      <c r="P11" s="37"/>
      <c r="Q11" s="37"/>
      <c r="R11" s="37"/>
      <c r="S11" s="37"/>
      <c r="T11" s="37"/>
      <c r="U11" s="37"/>
      <c r="V11" s="37"/>
      <c r="W11" s="37"/>
      <c r="X11" s="37"/>
    </row>
    <row r="12" ht="21.0" customHeight="1">
      <c r="A12" s="44"/>
      <c r="B12" s="44"/>
      <c r="C12" s="44"/>
      <c r="D12" s="44"/>
      <c r="E12" s="37"/>
      <c r="F12" s="50"/>
      <c r="K12" s="51"/>
      <c r="L12" s="37"/>
      <c r="M12" s="37"/>
      <c r="N12" s="37"/>
      <c r="O12" s="37"/>
      <c r="P12" s="37"/>
      <c r="Q12" s="37"/>
      <c r="R12" s="37"/>
      <c r="S12" s="37"/>
      <c r="T12" s="37"/>
      <c r="U12" s="37"/>
      <c r="V12" s="37"/>
      <c r="W12" s="37"/>
      <c r="X12" s="37"/>
    </row>
    <row r="13" ht="21.0" customHeight="1">
      <c r="A13" s="44"/>
      <c r="B13" s="44"/>
      <c r="C13" s="44"/>
      <c r="D13" s="44"/>
      <c r="E13" s="37"/>
      <c r="F13" s="50"/>
      <c r="K13" s="51"/>
      <c r="L13" s="37"/>
      <c r="M13" s="37"/>
      <c r="N13" s="37"/>
      <c r="O13" s="37"/>
      <c r="P13" s="37"/>
      <c r="Q13" s="37"/>
      <c r="R13" s="37"/>
      <c r="S13" s="37"/>
      <c r="T13" s="37"/>
      <c r="U13" s="37"/>
      <c r="V13" s="37"/>
      <c r="W13" s="37"/>
      <c r="X13" s="37"/>
    </row>
    <row r="14" ht="21.0" customHeight="1">
      <c r="A14" s="37"/>
      <c r="B14" s="45"/>
      <c r="C14" s="52"/>
      <c r="D14" s="49"/>
      <c r="E14" s="37"/>
      <c r="F14" s="50"/>
      <c r="K14" s="51"/>
      <c r="L14" s="37"/>
      <c r="M14" s="37"/>
      <c r="N14" s="37"/>
      <c r="O14" s="37"/>
      <c r="P14" s="37"/>
      <c r="Q14" s="37"/>
      <c r="R14" s="37"/>
      <c r="S14" s="37"/>
      <c r="T14" s="37"/>
      <c r="U14" s="37"/>
      <c r="V14" s="37"/>
      <c r="W14" s="37"/>
      <c r="X14" s="37"/>
    </row>
    <row r="15" ht="21.0" customHeight="1">
      <c r="A15" s="55"/>
      <c r="B15" s="45"/>
      <c r="C15" s="52"/>
      <c r="D15" s="49"/>
      <c r="E15" s="37"/>
      <c r="F15" s="56"/>
      <c r="G15" s="57"/>
      <c r="H15" s="57"/>
      <c r="I15" s="57"/>
      <c r="J15" s="57"/>
      <c r="K15" s="58"/>
      <c r="L15" s="37"/>
      <c r="M15" s="37"/>
      <c r="N15" s="37"/>
      <c r="O15" s="37"/>
      <c r="P15" s="37"/>
      <c r="Q15" s="37"/>
      <c r="R15" s="37"/>
      <c r="S15" s="37"/>
      <c r="T15" s="37"/>
      <c r="U15" s="37"/>
      <c r="V15" s="37"/>
      <c r="W15" s="37"/>
      <c r="X15" s="37"/>
    </row>
    <row r="16" ht="21.0" customHeight="1">
      <c r="A16" s="37"/>
      <c r="B16" s="37"/>
      <c r="C16" s="59"/>
      <c r="D16" s="60"/>
      <c r="E16" s="52"/>
      <c r="F16" s="49"/>
      <c r="G16" s="44"/>
      <c r="H16" s="44"/>
      <c r="I16" s="44"/>
      <c r="J16" s="44"/>
      <c r="K16" s="44"/>
      <c r="L16" s="37"/>
      <c r="M16" s="37"/>
      <c r="N16" s="37"/>
      <c r="O16" s="37"/>
      <c r="P16" s="37"/>
      <c r="Q16" s="37"/>
      <c r="R16" s="37"/>
      <c r="S16" s="37"/>
      <c r="T16" s="37"/>
      <c r="U16" s="37"/>
      <c r="V16" s="37"/>
      <c r="W16" s="37"/>
      <c r="X16" s="37"/>
    </row>
    <row r="17" ht="21.0" customHeight="1">
      <c r="A17" s="37"/>
      <c r="B17" s="37"/>
      <c r="C17" s="59"/>
      <c r="D17" s="60"/>
      <c r="E17" s="52"/>
      <c r="F17" s="49"/>
      <c r="G17" s="44"/>
      <c r="H17" s="44"/>
      <c r="I17" s="44"/>
      <c r="J17" s="44"/>
      <c r="K17" s="44"/>
      <c r="L17" s="37"/>
      <c r="M17" s="37"/>
      <c r="N17" s="37"/>
      <c r="O17" s="37"/>
      <c r="P17" s="37"/>
      <c r="Q17" s="37"/>
      <c r="R17" s="37"/>
      <c r="S17" s="37"/>
      <c r="T17" s="37"/>
      <c r="U17" s="37"/>
      <c r="V17" s="37"/>
      <c r="W17" s="37"/>
      <c r="X17" s="37"/>
    </row>
    <row r="18" ht="36.0" customHeight="1">
      <c r="A18" s="61" t="s">
        <v>82</v>
      </c>
      <c r="B18" s="42"/>
      <c r="C18" s="42"/>
      <c r="D18" s="43"/>
      <c r="E18" s="62">
        <v>30.0</v>
      </c>
      <c r="F18" s="49"/>
      <c r="G18" s="44"/>
      <c r="H18" s="44"/>
      <c r="I18" s="44"/>
      <c r="J18" s="44"/>
      <c r="K18" s="44"/>
      <c r="L18" s="37"/>
      <c r="M18" s="37"/>
      <c r="N18" s="37"/>
      <c r="O18" s="37"/>
      <c r="P18" s="37"/>
      <c r="Q18" s="37"/>
      <c r="R18" s="37"/>
      <c r="S18" s="37"/>
      <c r="T18" s="37"/>
      <c r="U18" s="37"/>
      <c r="V18" s="37"/>
      <c r="W18" s="37"/>
      <c r="X18" s="37"/>
    </row>
    <row r="19" ht="44.25" customHeight="1">
      <c r="A19" s="37"/>
      <c r="B19" s="37"/>
      <c r="C19" s="37"/>
      <c r="D19" s="63" t="s">
        <v>83</v>
      </c>
      <c r="E19" s="64">
        <f>RADIANS(E18)</f>
        <v>0.5235987756</v>
      </c>
      <c r="F19" s="49"/>
      <c r="G19" s="44"/>
      <c r="H19" s="44"/>
      <c r="I19" s="44"/>
      <c r="J19" s="44"/>
      <c r="K19" s="44"/>
      <c r="M19" s="37"/>
      <c r="N19" s="37"/>
      <c r="O19" s="37"/>
      <c r="P19" s="37"/>
      <c r="Q19" s="37"/>
      <c r="R19" s="37"/>
      <c r="S19" s="37"/>
      <c r="T19" s="37"/>
      <c r="U19" s="37"/>
      <c r="V19" s="37"/>
      <c r="W19" s="37"/>
      <c r="X19" s="37"/>
    </row>
    <row r="20" ht="21.0" customHeight="1">
      <c r="A20" s="37"/>
      <c r="B20" s="37"/>
      <c r="C20" s="59"/>
      <c r="D20" s="60"/>
      <c r="E20" s="52"/>
      <c r="F20" s="49"/>
      <c r="G20" s="44"/>
      <c r="H20" s="44"/>
      <c r="I20" s="44"/>
      <c r="J20" s="44"/>
      <c r="K20" s="44"/>
      <c r="M20" s="37"/>
      <c r="N20" s="37"/>
      <c r="O20" s="37"/>
      <c r="P20" s="37"/>
      <c r="Q20" s="37"/>
      <c r="R20" s="37"/>
      <c r="S20" s="37"/>
      <c r="T20" s="37"/>
      <c r="U20" s="37"/>
      <c r="V20" s="37"/>
      <c r="W20" s="37"/>
      <c r="X20" s="37"/>
    </row>
    <row r="21" ht="21.0" customHeight="1">
      <c r="A21" s="37"/>
      <c r="B21" s="37"/>
      <c r="C21" s="65" t="s">
        <v>84</v>
      </c>
      <c r="D21" s="47"/>
      <c r="E21" s="47"/>
      <c r="F21" s="47"/>
      <c r="G21" s="47"/>
      <c r="H21" s="47"/>
      <c r="I21" s="47"/>
      <c r="J21" s="47"/>
      <c r="K21" s="66"/>
      <c r="M21" s="37"/>
      <c r="N21" s="37"/>
      <c r="O21" s="37"/>
      <c r="P21" s="37"/>
      <c r="Q21" s="37"/>
      <c r="R21" s="37"/>
      <c r="S21" s="37"/>
      <c r="T21" s="37"/>
      <c r="U21" s="37"/>
      <c r="V21" s="37"/>
      <c r="W21" s="37"/>
      <c r="X21" s="37"/>
    </row>
    <row r="22" ht="21.0" customHeight="1">
      <c r="A22" s="37"/>
      <c r="B22" s="37"/>
      <c r="C22" s="56"/>
      <c r="D22" s="57"/>
      <c r="E22" s="57"/>
      <c r="F22" s="57"/>
      <c r="G22" s="57"/>
      <c r="H22" s="57"/>
      <c r="I22" s="57"/>
      <c r="J22" s="57"/>
      <c r="K22" s="67"/>
      <c r="M22" s="37"/>
      <c r="N22" s="37"/>
      <c r="O22" s="37"/>
      <c r="P22" s="37"/>
      <c r="Q22" s="37"/>
      <c r="R22" s="37"/>
      <c r="S22" s="37"/>
      <c r="T22" s="37"/>
      <c r="U22" s="37"/>
      <c r="V22" s="37"/>
      <c r="W22" s="37"/>
      <c r="X22" s="37"/>
    </row>
    <row r="23" ht="21.0" customHeight="1">
      <c r="A23" s="37"/>
      <c r="B23" s="37"/>
      <c r="C23" s="37"/>
      <c r="D23" s="54"/>
      <c r="E23" s="54"/>
      <c r="F23" s="49"/>
      <c r="G23" s="44"/>
      <c r="H23" s="44"/>
      <c r="I23" s="44"/>
      <c r="J23" s="44"/>
      <c r="K23" s="44"/>
      <c r="M23" s="37"/>
      <c r="N23" s="37"/>
      <c r="O23" s="37"/>
      <c r="P23" s="37"/>
      <c r="Q23" s="37"/>
      <c r="R23" s="37"/>
      <c r="S23" s="37"/>
      <c r="T23" s="37"/>
      <c r="U23" s="37"/>
      <c r="V23" s="37"/>
      <c r="W23" s="37"/>
      <c r="X23" s="37"/>
    </row>
    <row r="24" ht="21.0" customHeight="1">
      <c r="A24" s="37"/>
      <c r="B24" s="37"/>
      <c r="C24" s="37"/>
      <c r="D24" s="54"/>
      <c r="E24" s="54"/>
      <c r="F24" s="49"/>
      <c r="G24" s="44"/>
      <c r="H24" s="44"/>
      <c r="I24" s="44"/>
      <c r="J24" s="44"/>
      <c r="K24" s="44"/>
      <c r="M24" s="37"/>
      <c r="N24" s="37"/>
      <c r="O24" s="37"/>
      <c r="P24" s="37"/>
      <c r="Q24" s="37"/>
      <c r="R24" s="37"/>
      <c r="S24" s="37"/>
      <c r="T24" s="37"/>
      <c r="U24" s="37"/>
      <c r="V24" s="37"/>
      <c r="W24" s="37"/>
      <c r="X24" s="37"/>
    </row>
    <row r="25" ht="21.0" customHeight="1">
      <c r="A25" s="37"/>
      <c r="B25" s="37"/>
      <c r="C25" s="68" t="s">
        <v>85</v>
      </c>
      <c r="D25" s="57"/>
      <c r="E25" s="44"/>
      <c r="F25" s="68" t="s">
        <v>86</v>
      </c>
      <c r="G25" s="57"/>
      <c r="H25" s="44"/>
      <c r="I25" s="69" t="s">
        <v>87</v>
      </c>
      <c r="J25" s="70"/>
      <c r="K25" s="44"/>
      <c r="L25" s="68" t="s">
        <v>88</v>
      </c>
      <c r="M25" s="57"/>
      <c r="O25" s="69" t="s">
        <v>89</v>
      </c>
      <c r="P25" s="70"/>
      <c r="R25" s="37"/>
      <c r="S25" s="37"/>
      <c r="T25" s="37"/>
      <c r="U25" s="37"/>
      <c r="V25" s="37"/>
      <c r="W25" s="37"/>
      <c r="X25" s="37"/>
    </row>
    <row r="26" ht="21.0" customHeight="1">
      <c r="A26" s="71"/>
      <c r="B26" s="72" t="s">
        <v>90</v>
      </c>
      <c r="C26" s="73" t="s">
        <v>91</v>
      </c>
      <c r="D26" s="74">
        <v>0.0</v>
      </c>
      <c r="E26" s="71"/>
      <c r="F26" s="75" t="s">
        <v>91</v>
      </c>
      <c r="G26" s="74"/>
      <c r="H26" s="71"/>
      <c r="I26" s="76" t="s">
        <v>92</v>
      </c>
      <c r="J26" s="77"/>
      <c r="K26" s="71"/>
      <c r="L26" s="75" t="s">
        <v>91</v>
      </c>
      <c r="M26" s="74"/>
      <c r="O26" s="76" t="s">
        <v>93</v>
      </c>
      <c r="P26" s="77">
        <v>0.0</v>
      </c>
      <c r="R26" s="71"/>
      <c r="S26" s="71"/>
      <c r="T26" s="71"/>
      <c r="U26" s="71"/>
      <c r="V26" s="71"/>
      <c r="W26" s="71"/>
      <c r="X26" s="71"/>
    </row>
    <row r="27" ht="21.0" customHeight="1">
      <c r="A27" s="37"/>
      <c r="B27" s="78"/>
      <c r="C27" s="79"/>
      <c r="D27" s="80" t="s">
        <v>94</v>
      </c>
      <c r="E27" s="37"/>
      <c r="F27" s="79"/>
      <c r="G27" s="80" t="s">
        <v>94</v>
      </c>
      <c r="H27" s="44"/>
      <c r="I27" s="81"/>
      <c r="J27" s="82" t="s">
        <v>94</v>
      </c>
      <c r="K27" s="44"/>
      <c r="L27" s="79"/>
      <c r="M27" s="80" t="s">
        <v>94</v>
      </c>
      <c r="O27" s="81"/>
      <c r="P27" s="82" t="s">
        <v>92</v>
      </c>
      <c r="R27" s="37"/>
      <c r="S27" s="37"/>
      <c r="T27" s="37"/>
      <c r="U27" s="37"/>
      <c r="V27" s="37"/>
      <c r="W27" s="37"/>
      <c r="X27" s="37"/>
    </row>
    <row r="28" ht="21.0" customHeight="1">
      <c r="A28" s="83" t="s">
        <v>95</v>
      </c>
      <c r="B28" s="84"/>
      <c r="C28" s="37"/>
      <c r="D28" s="85">
        <v>0.0</v>
      </c>
      <c r="E28" s="37"/>
      <c r="F28" s="37"/>
      <c r="G28" s="85"/>
      <c r="H28" s="44"/>
      <c r="I28" s="86"/>
      <c r="J28" s="87"/>
      <c r="K28" s="37"/>
      <c r="L28" s="37"/>
      <c r="M28" s="85"/>
      <c r="O28" s="86"/>
      <c r="P28" s="87"/>
      <c r="R28" s="37"/>
      <c r="S28" s="37"/>
      <c r="T28" s="37"/>
      <c r="U28" s="37"/>
      <c r="V28" s="37"/>
      <c r="W28" s="37"/>
      <c r="X28" s="37"/>
    </row>
    <row r="29" ht="21.0" customHeight="1">
      <c r="A29" s="83" t="s">
        <v>96</v>
      </c>
      <c r="B29" s="88"/>
      <c r="C29" s="37"/>
      <c r="D29" s="85">
        <v>0.0</v>
      </c>
      <c r="E29" s="37"/>
      <c r="F29" s="37"/>
      <c r="G29" s="85"/>
      <c r="H29" s="44"/>
      <c r="I29" s="86"/>
      <c r="J29" s="87"/>
      <c r="K29" s="37"/>
      <c r="L29" s="37"/>
      <c r="M29" s="85"/>
      <c r="O29" s="86"/>
      <c r="P29" s="87"/>
      <c r="R29" s="37"/>
      <c r="S29" s="37"/>
      <c r="T29" s="37"/>
      <c r="U29" s="37"/>
      <c r="V29" s="37"/>
      <c r="W29" s="37"/>
      <c r="X29" s="37"/>
    </row>
    <row r="30" ht="21.0" customHeight="1">
      <c r="A30" s="89" t="s">
        <v>97</v>
      </c>
      <c r="B30" s="90"/>
      <c r="C30" s="91" t="s">
        <v>98</v>
      </c>
      <c r="D30" s="92"/>
      <c r="E30" s="37"/>
      <c r="F30" s="93" t="s">
        <v>99</v>
      </c>
      <c r="G30" s="92"/>
      <c r="H30" s="37"/>
      <c r="I30" s="94" t="s">
        <v>99</v>
      </c>
      <c r="J30" s="95"/>
      <c r="K30" s="37"/>
      <c r="L30" s="93" t="s">
        <v>99</v>
      </c>
      <c r="M30" s="92"/>
      <c r="O30" s="94" t="s">
        <v>99</v>
      </c>
      <c r="P30" s="95"/>
      <c r="R30" s="37"/>
      <c r="S30" s="37"/>
      <c r="T30" s="37"/>
      <c r="U30" s="37"/>
      <c r="V30" s="37"/>
      <c r="W30" s="37"/>
      <c r="X30" s="37"/>
    </row>
    <row r="31" ht="21.0" customHeight="1">
      <c r="A31" s="96" t="s">
        <v>100</v>
      </c>
      <c r="B31" s="97"/>
      <c r="C31" s="98" t="s">
        <v>101</v>
      </c>
      <c r="D31" s="99"/>
      <c r="E31" s="37"/>
      <c r="F31" s="100" t="s">
        <v>101</v>
      </c>
      <c r="G31" s="99"/>
      <c r="H31" s="37"/>
      <c r="I31" s="101" t="s">
        <v>101</v>
      </c>
      <c r="J31" s="102"/>
      <c r="K31" s="37"/>
      <c r="L31" s="100" t="s">
        <v>101</v>
      </c>
      <c r="M31" s="99"/>
      <c r="O31" s="101" t="s">
        <v>101</v>
      </c>
      <c r="P31" s="102"/>
      <c r="R31" s="37"/>
      <c r="S31" s="37"/>
      <c r="T31" s="37"/>
      <c r="U31" s="37"/>
      <c r="V31" s="37"/>
      <c r="W31" s="37"/>
      <c r="X31" s="37"/>
    </row>
    <row r="32" ht="21.0" customHeight="1">
      <c r="A32" s="37"/>
      <c r="B32" s="37"/>
      <c r="C32" s="37"/>
      <c r="D32" s="37"/>
      <c r="E32" s="37"/>
      <c r="H32" s="103"/>
      <c r="K32" s="37"/>
      <c r="L32" s="37"/>
      <c r="M32" s="37"/>
      <c r="N32" s="37"/>
      <c r="O32" s="37"/>
      <c r="P32" s="37"/>
      <c r="Q32" s="37"/>
      <c r="R32" s="37"/>
      <c r="S32" s="37"/>
      <c r="T32" s="37"/>
      <c r="U32" s="37"/>
      <c r="V32" s="37"/>
      <c r="W32" s="37"/>
      <c r="X32" s="37"/>
    </row>
    <row r="33" ht="21.0" customHeight="1">
      <c r="A33" s="37"/>
      <c r="B33" s="37"/>
      <c r="C33" s="37"/>
      <c r="D33" s="37"/>
      <c r="E33" s="37"/>
      <c r="F33" s="37"/>
      <c r="G33" s="37"/>
      <c r="H33" s="37" t="s">
        <v>102</v>
      </c>
      <c r="L33" s="37"/>
      <c r="M33" s="37"/>
      <c r="N33" s="37"/>
      <c r="O33" s="37"/>
      <c r="P33" s="37"/>
      <c r="Q33" s="37"/>
      <c r="R33" s="37"/>
      <c r="S33" s="37"/>
      <c r="T33" s="37"/>
      <c r="U33" s="37"/>
      <c r="V33" s="37"/>
      <c r="W33" s="37"/>
      <c r="X33" s="37"/>
    </row>
    <row r="34" ht="21.0" customHeight="1">
      <c r="A34" s="37"/>
      <c r="B34" s="37"/>
      <c r="C34" s="37"/>
      <c r="D34" s="37"/>
      <c r="E34" s="37"/>
      <c r="F34" s="37"/>
      <c r="G34" s="37"/>
      <c r="L34" s="37"/>
      <c r="M34" s="37"/>
      <c r="N34" s="37"/>
      <c r="O34" s="37"/>
      <c r="P34" s="37"/>
      <c r="Q34" s="37"/>
      <c r="R34" s="37"/>
      <c r="S34" s="37"/>
      <c r="T34" s="37"/>
      <c r="U34" s="37"/>
      <c r="V34" s="37"/>
      <c r="W34" s="37"/>
      <c r="X34" s="37"/>
    </row>
    <row r="35" ht="21.0" customHeight="1">
      <c r="A35" s="37"/>
      <c r="B35" s="37"/>
      <c r="C35" s="37"/>
      <c r="D35" s="37"/>
      <c r="E35" s="37"/>
      <c r="F35" s="37"/>
      <c r="G35" s="37"/>
      <c r="L35" s="37"/>
      <c r="M35" s="37"/>
      <c r="N35" s="37"/>
      <c r="O35" s="37"/>
      <c r="P35" s="37"/>
      <c r="Q35" s="37"/>
      <c r="R35" s="37"/>
      <c r="S35" s="37"/>
      <c r="T35" s="37"/>
      <c r="U35" s="37"/>
      <c r="V35" s="37"/>
      <c r="W35" s="37"/>
      <c r="X35" s="37"/>
    </row>
    <row r="36" ht="21.0" customHeight="1">
      <c r="A36" s="37"/>
      <c r="B36" s="37"/>
      <c r="C36" s="37"/>
      <c r="D36" s="37"/>
      <c r="E36" s="37"/>
      <c r="F36" s="37"/>
      <c r="G36" s="37"/>
      <c r="L36" s="37"/>
      <c r="M36" s="37"/>
      <c r="N36" s="37"/>
      <c r="O36" s="37"/>
      <c r="P36" s="37"/>
      <c r="Q36" s="37"/>
      <c r="R36" s="37"/>
      <c r="S36" s="37"/>
      <c r="T36" s="37"/>
      <c r="U36" s="37"/>
      <c r="V36" s="37"/>
      <c r="W36" s="37"/>
      <c r="X36" s="37"/>
    </row>
    <row r="37" ht="21.0" customHeight="1">
      <c r="A37" s="37"/>
      <c r="B37" s="37"/>
      <c r="C37" s="37"/>
      <c r="D37" s="37"/>
      <c r="E37" s="37"/>
      <c r="F37" s="37"/>
      <c r="G37" s="37"/>
      <c r="L37" s="37"/>
      <c r="M37" s="37"/>
      <c r="N37" s="37"/>
      <c r="O37" s="37"/>
      <c r="P37" s="37"/>
      <c r="Q37" s="37"/>
      <c r="R37" s="37"/>
      <c r="S37" s="37"/>
      <c r="T37" s="37"/>
      <c r="U37" s="37"/>
      <c r="V37" s="37"/>
      <c r="W37" s="37"/>
      <c r="X37" s="37"/>
    </row>
    <row r="38" ht="21.0" customHeight="1">
      <c r="A38" s="37"/>
      <c r="B38" s="104" t="s">
        <v>92</v>
      </c>
      <c r="C38" s="105" t="s">
        <v>94</v>
      </c>
      <c r="D38" s="106" t="s">
        <v>103</v>
      </c>
      <c r="E38" s="107" t="s">
        <v>104</v>
      </c>
      <c r="F38" s="108" t="s">
        <v>105</v>
      </c>
      <c r="G38" s="108" t="s">
        <v>106</v>
      </c>
      <c r="L38" s="37"/>
      <c r="M38" s="37"/>
      <c r="N38" s="37"/>
      <c r="O38" s="37"/>
      <c r="P38" s="37"/>
      <c r="Q38" s="37"/>
      <c r="R38" s="37"/>
      <c r="S38" s="37"/>
      <c r="T38" s="37"/>
      <c r="U38" s="37"/>
      <c r="V38" s="37"/>
      <c r="W38" s="37"/>
      <c r="X38" s="37"/>
    </row>
    <row r="39" ht="21.0" customHeight="1">
      <c r="A39" s="109" t="s">
        <v>107</v>
      </c>
      <c r="B39" s="84"/>
      <c r="C39" s="84"/>
      <c r="D39" s="84"/>
      <c r="E39" s="84"/>
      <c r="F39" s="78">
        <v>0.0</v>
      </c>
      <c r="G39" s="78">
        <v>0.0</v>
      </c>
      <c r="L39" s="37"/>
      <c r="M39" s="37"/>
      <c r="N39" s="37"/>
      <c r="O39" s="37"/>
      <c r="P39" s="37"/>
      <c r="Q39" s="37"/>
      <c r="R39" s="37"/>
      <c r="S39" s="37"/>
      <c r="T39" s="37"/>
      <c r="U39" s="37"/>
      <c r="V39" s="37"/>
      <c r="W39" s="37"/>
      <c r="X39" s="37"/>
    </row>
    <row r="40" ht="21.0" customHeight="1">
      <c r="A40" s="37" t="s">
        <v>108</v>
      </c>
      <c r="B40" s="85"/>
      <c r="C40" s="85"/>
      <c r="D40" s="85"/>
      <c r="E40" s="85"/>
      <c r="F40" s="85" t="str">
        <f>B40</f>
        <v/>
      </c>
      <c r="G40" s="85" t="str">
        <f>ROUND(F40*TAN($E$19)-(0.5*9.8*(F40/($B$30*COS($E$19)))^2),3)</f>
        <v>#DIV/0!</v>
      </c>
      <c r="L40" s="37"/>
      <c r="M40" s="37"/>
      <c r="N40" s="37"/>
      <c r="O40" s="37"/>
      <c r="P40" s="37"/>
      <c r="Q40" s="37"/>
      <c r="R40" s="37"/>
      <c r="S40" s="37"/>
      <c r="T40" s="37"/>
      <c r="U40" s="37"/>
      <c r="V40" s="37"/>
      <c r="W40" s="37"/>
      <c r="X40" s="37"/>
    </row>
    <row r="41" ht="21.0" customHeight="1">
      <c r="A41" s="86" t="s">
        <v>109</v>
      </c>
      <c r="B41" s="87"/>
      <c r="C41" s="87"/>
      <c r="D41" s="87"/>
      <c r="E41" s="87"/>
      <c r="F41" s="87">
        <f>ROUND((B30^2)*SIN(2*E19)/(2*9.8),3)</f>
        <v>0</v>
      </c>
      <c r="G41" s="87">
        <f>ROUND(((B30*SIN(E19))^2)/(2*9.8),3)</f>
        <v>0</v>
      </c>
      <c r="L41" s="37"/>
      <c r="M41" s="37"/>
      <c r="N41" s="37"/>
      <c r="O41" s="37"/>
      <c r="P41" s="37"/>
      <c r="Q41" s="37"/>
      <c r="R41" s="37"/>
      <c r="S41" s="37"/>
      <c r="T41" s="37"/>
      <c r="U41" s="37"/>
      <c r="V41" s="37"/>
      <c r="W41" s="37"/>
      <c r="X41" s="37"/>
    </row>
    <row r="42" ht="21.0" customHeight="1">
      <c r="A42" s="37" t="s">
        <v>110</v>
      </c>
      <c r="B42" s="85"/>
      <c r="C42" s="85"/>
      <c r="D42" s="85"/>
      <c r="E42" s="85"/>
      <c r="F42" s="85" t="str">
        <f>B42</f>
        <v/>
      </c>
      <c r="G42" s="85" t="str">
        <f>ROUND(F42*TAN($E$19)-(0.5*9.8*(F42/($B$30*COS($E$19)))^2),3)</f>
        <v>#DIV/0!</v>
      </c>
      <c r="L42" s="37"/>
      <c r="M42" s="37"/>
      <c r="N42" s="37"/>
      <c r="O42" s="37"/>
      <c r="P42" s="37"/>
      <c r="Q42" s="37"/>
      <c r="R42" s="37"/>
      <c r="S42" s="37"/>
      <c r="T42" s="37"/>
      <c r="U42" s="37"/>
      <c r="V42" s="37"/>
      <c r="W42" s="37"/>
      <c r="X42" s="37"/>
    </row>
    <row r="43" ht="21.0" customHeight="1">
      <c r="A43" s="86" t="s">
        <v>111</v>
      </c>
      <c r="B43" s="87"/>
      <c r="C43" s="87"/>
      <c r="D43" s="87"/>
      <c r="E43" s="87"/>
      <c r="F43" s="87">
        <f>ROUND((B30^2)*SIN(2*E19)/9.8,3)</f>
        <v>0</v>
      </c>
      <c r="G43" s="87">
        <v>0.0</v>
      </c>
      <c r="L43" s="37"/>
      <c r="M43" s="37"/>
      <c r="N43" s="37"/>
      <c r="O43" s="37"/>
      <c r="P43" s="37"/>
      <c r="Q43" s="37"/>
      <c r="R43" s="37"/>
      <c r="S43" s="37"/>
      <c r="T43" s="37"/>
      <c r="U43" s="37"/>
      <c r="V43" s="37"/>
      <c r="W43" s="37"/>
      <c r="X43" s="37"/>
    </row>
    <row r="44" ht="21.0" customHeight="1">
      <c r="A44" s="37"/>
      <c r="B44" s="37"/>
      <c r="C44" s="37"/>
      <c r="D44" s="37"/>
      <c r="E44" s="37"/>
      <c r="F44" s="37"/>
      <c r="G44" s="37"/>
      <c r="L44" s="37"/>
      <c r="M44" s="37"/>
      <c r="N44" s="37"/>
      <c r="O44" s="37"/>
      <c r="P44" s="37"/>
      <c r="Q44" s="37"/>
      <c r="R44" s="37"/>
      <c r="S44" s="37"/>
      <c r="T44" s="37"/>
      <c r="U44" s="37"/>
      <c r="V44" s="37"/>
      <c r="W44" s="37"/>
      <c r="X44" s="37"/>
    </row>
    <row r="45" ht="21.0" customHeight="1">
      <c r="A45" s="37"/>
      <c r="B45" s="37"/>
      <c r="C45" s="37"/>
      <c r="D45" s="37"/>
      <c r="E45" s="37"/>
      <c r="F45" s="37"/>
      <c r="G45" s="37"/>
      <c r="L45" s="37"/>
      <c r="M45" s="37"/>
      <c r="N45" s="37"/>
      <c r="O45" s="37"/>
      <c r="P45" s="37"/>
      <c r="Q45" s="37"/>
      <c r="R45" s="37"/>
      <c r="S45" s="37"/>
      <c r="T45" s="37"/>
      <c r="U45" s="37"/>
      <c r="V45" s="37"/>
      <c r="W45" s="37"/>
      <c r="X45" s="37"/>
    </row>
    <row r="46" ht="36.0" customHeight="1">
      <c r="A46" s="61" t="s">
        <v>82</v>
      </c>
      <c r="B46" s="42"/>
      <c r="C46" s="42"/>
      <c r="D46" s="43"/>
      <c r="E46" s="62">
        <v>45.0</v>
      </c>
      <c r="F46" s="49"/>
      <c r="G46" s="44"/>
      <c r="H46" s="44"/>
      <c r="I46" s="44"/>
      <c r="J46" s="44"/>
      <c r="K46" s="44"/>
      <c r="L46" s="37"/>
      <c r="O46" s="37"/>
      <c r="P46" s="37"/>
      <c r="Q46" s="37"/>
      <c r="R46" s="37"/>
      <c r="S46" s="37"/>
      <c r="T46" s="37"/>
      <c r="U46" s="37"/>
      <c r="V46" s="37"/>
      <c r="W46" s="37"/>
      <c r="X46" s="37"/>
    </row>
    <row r="47" ht="44.25" customHeight="1">
      <c r="A47" s="37"/>
      <c r="B47" s="37"/>
      <c r="C47" s="37"/>
      <c r="D47" s="63" t="s">
        <v>83</v>
      </c>
      <c r="E47" s="64">
        <f>RADIANS(E46)</f>
        <v>0.7853981634</v>
      </c>
      <c r="F47" s="49"/>
      <c r="G47" s="44"/>
      <c r="H47" s="44"/>
      <c r="I47" s="44"/>
      <c r="J47" s="44"/>
      <c r="K47" s="44"/>
      <c r="L47" s="37"/>
      <c r="O47" s="37"/>
      <c r="P47" s="37"/>
      <c r="Q47" s="37"/>
      <c r="R47" s="37"/>
      <c r="S47" s="37"/>
      <c r="T47" s="37"/>
      <c r="U47" s="37"/>
      <c r="V47" s="37"/>
      <c r="W47" s="37"/>
      <c r="X47" s="37"/>
    </row>
    <row r="48" ht="21.0" customHeight="1">
      <c r="A48" s="37"/>
      <c r="B48" s="37"/>
      <c r="C48" s="59"/>
      <c r="D48" s="60"/>
      <c r="E48" s="52"/>
      <c r="F48" s="49"/>
      <c r="G48" s="44"/>
      <c r="H48" s="44"/>
      <c r="I48" s="44"/>
      <c r="J48" s="44"/>
      <c r="K48" s="44"/>
      <c r="L48" s="37"/>
      <c r="O48" s="37"/>
      <c r="P48" s="37"/>
      <c r="Q48" s="37"/>
      <c r="R48" s="37"/>
      <c r="S48" s="37"/>
      <c r="T48" s="37"/>
      <c r="U48" s="37"/>
      <c r="V48" s="37"/>
      <c r="W48" s="37"/>
      <c r="X48" s="37"/>
    </row>
    <row r="49" ht="21.0" customHeight="1">
      <c r="A49" s="37"/>
      <c r="B49" s="37"/>
      <c r="C49" s="65" t="s">
        <v>84</v>
      </c>
      <c r="D49" s="47"/>
      <c r="E49" s="47"/>
      <c r="F49" s="47"/>
      <c r="G49" s="47"/>
      <c r="H49" s="47"/>
      <c r="I49" s="47"/>
      <c r="J49" s="47"/>
      <c r="K49" s="66"/>
      <c r="L49" s="37"/>
      <c r="O49" s="37"/>
      <c r="P49" s="37"/>
      <c r="Q49" s="37"/>
      <c r="R49" s="37"/>
      <c r="S49" s="37"/>
      <c r="T49" s="37"/>
      <c r="U49" s="37"/>
      <c r="V49" s="37"/>
      <c r="W49" s="37"/>
      <c r="X49" s="37"/>
    </row>
    <row r="50" ht="21.0" customHeight="1">
      <c r="A50" s="37"/>
      <c r="B50" s="37"/>
      <c r="C50" s="56"/>
      <c r="D50" s="57"/>
      <c r="E50" s="57"/>
      <c r="F50" s="57"/>
      <c r="G50" s="57"/>
      <c r="H50" s="57"/>
      <c r="I50" s="57"/>
      <c r="J50" s="57"/>
      <c r="K50" s="67"/>
      <c r="L50" s="37"/>
      <c r="O50" s="37"/>
      <c r="P50" s="37"/>
      <c r="Q50" s="37"/>
      <c r="R50" s="37"/>
      <c r="S50" s="37"/>
      <c r="T50" s="37"/>
      <c r="U50" s="37"/>
      <c r="V50" s="37"/>
      <c r="W50" s="37"/>
      <c r="X50" s="37"/>
    </row>
    <row r="51" ht="21.0" customHeight="1">
      <c r="A51" s="37"/>
      <c r="B51" s="37"/>
      <c r="C51" s="37"/>
      <c r="D51" s="54"/>
      <c r="E51" s="54"/>
      <c r="F51" s="49"/>
      <c r="G51" s="44"/>
      <c r="H51" s="44"/>
      <c r="I51" s="44"/>
      <c r="J51" s="44"/>
      <c r="K51" s="44"/>
      <c r="L51" s="37"/>
      <c r="O51" s="37"/>
      <c r="P51" s="37"/>
      <c r="Q51" s="37"/>
      <c r="R51" s="37"/>
      <c r="S51" s="37"/>
      <c r="T51" s="37"/>
      <c r="U51" s="37"/>
      <c r="V51" s="37"/>
      <c r="W51" s="37"/>
      <c r="X51" s="37"/>
    </row>
    <row r="52" ht="21.0" customHeight="1">
      <c r="A52" s="37"/>
      <c r="B52" s="37"/>
      <c r="C52" s="37"/>
      <c r="D52" s="54"/>
      <c r="E52" s="54"/>
      <c r="F52" s="49"/>
      <c r="G52" s="44"/>
      <c r="H52" s="44"/>
      <c r="I52" s="44"/>
      <c r="J52" s="44"/>
      <c r="K52" s="44"/>
      <c r="L52" s="37"/>
      <c r="O52" s="37"/>
      <c r="P52" s="37"/>
      <c r="Q52" s="37"/>
      <c r="R52" s="37"/>
      <c r="S52" s="37"/>
      <c r="T52" s="37"/>
      <c r="U52" s="37"/>
      <c r="V52" s="37"/>
      <c r="W52" s="37"/>
      <c r="X52" s="37"/>
    </row>
    <row r="53" ht="21.0" customHeight="1">
      <c r="A53" s="37"/>
      <c r="B53" s="37"/>
      <c r="C53" s="68" t="s">
        <v>85</v>
      </c>
      <c r="D53" s="57"/>
      <c r="E53" s="44"/>
      <c r="F53" s="68" t="s">
        <v>86</v>
      </c>
      <c r="G53" s="57"/>
      <c r="H53" s="44"/>
      <c r="I53" s="110" t="s">
        <v>87</v>
      </c>
      <c r="J53" s="111"/>
      <c r="K53" s="44"/>
      <c r="L53" s="68" t="s">
        <v>88</v>
      </c>
      <c r="M53" s="57"/>
      <c r="O53" s="69" t="s">
        <v>89</v>
      </c>
      <c r="P53" s="70"/>
      <c r="R53" s="37"/>
      <c r="S53" s="37"/>
      <c r="T53" s="37"/>
      <c r="U53" s="37"/>
      <c r="V53" s="37"/>
      <c r="W53" s="37"/>
      <c r="X53" s="37"/>
    </row>
    <row r="54" ht="21.0" customHeight="1">
      <c r="A54" s="71"/>
      <c r="B54" s="72" t="s">
        <v>90</v>
      </c>
      <c r="C54" s="73" t="s">
        <v>91</v>
      </c>
      <c r="D54" s="74">
        <v>0.0</v>
      </c>
      <c r="E54" s="71"/>
      <c r="F54" s="75" t="s">
        <v>91</v>
      </c>
      <c r="G54" s="74"/>
      <c r="H54" s="71"/>
      <c r="I54" s="76" t="s">
        <v>92</v>
      </c>
      <c r="J54" s="77"/>
      <c r="K54" s="71"/>
      <c r="L54" s="75" t="s">
        <v>91</v>
      </c>
      <c r="M54" s="74"/>
      <c r="O54" s="76" t="s">
        <v>93</v>
      </c>
      <c r="P54" s="77">
        <v>0.0</v>
      </c>
      <c r="R54" s="71"/>
      <c r="S54" s="71"/>
      <c r="T54" s="71"/>
      <c r="U54" s="71"/>
      <c r="V54" s="71"/>
      <c r="W54" s="71"/>
      <c r="X54" s="71"/>
    </row>
    <row r="55" ht="21.0" customHeight="1">
      <c r="A55" s="37"/>
      <c r="B55" s="78"/>
      <c r="C55" s="79"/>
      <c r="D55" s="80" t="s">
        <v>94</v>
      </c>
      <c r="E55" s="37"/>
      <c r="F55" s="79"/>
      <c r="G55" s="80" t="s">
        <v>94</v>
      </c>
      <c r="H55" s="44"/>
      <c r="I55" s="81"/>
      <c r="J55" s="82" t="s">
        <v>94</v>
      </c>
      <c r="K55" s="44"/>
      <c r="L55" s="79"/>
      <c r="M55" s="80" t="s">
        <v>94</v>
      </c>
      <c r="O55" s="81"/>
      <c r="P55" s="82" t="s">
        <v>92</v>
      </c>
      <c r="R55" s="37"/>
      <c r="S55" s="37"/>
      <c r="T55" s="37"/>
      <c r="U55" s="37"/>
      <c r="V55" s="37"/>
      <c r="W55" s="37"/>
      <c r="X55" s="37"/>
    </row>
    <row r="56" ht="21.0" customHeight="1">
      <c r="A56" s="83" t="s">
        <v>95</v>
      </c>
      <c r="B56" s="84"/>
      <c r="C56" s="37"/>
      <c r="D56" s="85">
        <v>0.0</v>
      </c>
      <c r="E56" s="37"/>
      <c r="F56" s="37"/>
      <c r="G56" s="85"/>
      <c r="H56" s="44"/>
      <c r="I56" s="86"/>
      <c r="J56" s="87"/>
      <c r="K56" s="37"/>
      <c r="L56" s="37"/>
      <c r="M56" s="85"/>
      <c r="O56" s="86"/>
      <c r="P56" s="87"/>
      <c r="R56" s="37"/>
      <c r="S56" s="37"/>
      <c r="T56" s="37"/>
      <c r="U56" s="37"/>
      <c r="V56" s="37"/>
      <c r="W56" s="37"/>
      <c r="X56" s="37"/>
    </row>
    <row r="57" ht="21.0" customHeight="1">
      <c r="A57" s="83" t="s">
        <v>96</v>
      </c>
      <c r="B57" s="88"/>
      <c r="C57" s="37"/>
      <c r="D57" s="85">
        <v>0.0</v>
      </c>
      <c r="E57" s="37"/>
      <c r="F57" s="37"/>
      <c r="G57" s="85"/>
      <c r="H57" s="44"/>
      <c r="I57" s="86"/>
      <c r="J57" s="87"/>
      <c r="K57" s="37"/>
      <c r="L57" s="37"/>
      <c r="M57" s="85"/>
      <c r="O57" s="86"/>
      <c r="P57" s="87"/>
      <c r="R57" s="37"/>
      <c r="S57" s="37"/>
      <c r="T57" s="37"/>
      <c r="U57" s="37"/>
      <c r="V57" s="37"/>
      <c r="W57" s="37"/>
      <c r="X57" s="37"/>
    </row>
    <row r="58" ht="21.0" customHeight="1">
      <c r="A58" s="89" t="s">
        <v>97</v>
      </c>
      <c r="B58" s="90"/>
      <c r="C58" s="91" t="s">
        <v>98</v>
      </c>
      <c r="D58" s="92"/>
      <c r="E58" s="37"/>
      <c r="F58" s="93" t="s">
        <v>99</v>
      </c>
      <c r="G58" s="92"/>
      <c r="H58" s="37"/>
      <c r="I58" s="94" t="s">
        <v>99</v>
      </c>
      <c r="J58" s="95"/>
      <c r="K58" s="37"/>
      <c r="L58" s="93" t="s">
        <v>99</v>
      </c>
      <c r="M58" s="92"/>
      <c r="O58" s="94" t="s">
        <v>99</v>
      </c>
      <c r="P58" s="95"/>
      <c r="R58" s="37"/>
      <c r="S58" s="37"/>
      <c r="T58" s="37"/>
      <c r="U58" s="37"/>
      <c r="V58" s="37"/>
      <c r="W58" s="37"/>
      <c r="X58" s="37"/>
    </row>
    <row r="59" ht="21.0" customHeight="1">
      <c r="A59" s="96" t="s">
        <v>100</v>
      </c>
      <c r="B59" s="97"/>
      <c r="C59" s="98" t="s">
        <v>101</v>
      </c>
      <c r="D59" s="99"/>
      <c r="E59" s="37"/>
      <c r="F59" s="100" t="s">
        <v>101</v>
      </c>
      <c r="G59" s="99"/>
      <c r="H59" s="37"/>
      <c r="I59" s="101" t="s">
        <v>101</v>
      </c>
      <c r="J59" s="102"/>
      <c r="K59" s="37"/>
      <c r="L59" s="100" t="s">
        <v>101</v>
      </c>
      <c r="M59" s="99"/>
      <c r="O59" s="101" t="s">
        <v>101</v>
      </c>
      <c r="P59" s="102"/>
      <c r="R59" s="37"/>
      <c r="S59" s="37"/>
      <c r="T59" s="37"/>
      <c r="U59" s="37"/>
      <c r="V59" s="37"/>
      <c r="W59" s="37"/>
      <c r="X59" s="37"/>
    </row>
    <row r="60" ht="21.0" customHeight="1">
      <c r="A60" s="37"/>
      <c r="B60" s="37"/>
      <c r="C60" s="37"/>
      <c r="D60" s="37"/>
      <c r="E60" s="37"/>
      <c r="F60" s="37"/>
      <c r="G60" s="103"/>
      <c r="H60" s="103"/>
      <c r="I60" s="103"/>
      <c r="J60" s="103"/>
      <c r="K60" s="37"/>
      <c r="L60" s="37"/>
      <c r="M60" s="37"/>
      <c r="N60" s="37"/>
      <c r="O60" s="37"/>
      <c r="P60" s="37"/>
      <c r="Q60" s="37"/>
      <c r="R60" s="37"/>
      <c r="S60" s="37"/>
      <c r="T60" s="37"/>
      <c r="U60" s="37"/>
      <c r="V60" s="37"/>
      <c r="W60" s="37"/>
      <c r="X60" s="37"/>
    </row>
    <row r="61" ht="21.0" customHeight="1">
      <c r="A61" s="37"/>
      <c r="B61" s="37"/>
      <c r="C61" s="37"/>
      <c r="D61" s="37"/>
      <c r="E61" s="37"/>
      <c r="F61" s="37"/>
      <c r="G61" s="37"/>
      <c r="H61" s="37" t="s">
        <v>102</v>
      </c>
      <c r="L61" s="37"/>
      <c r="M61" s="37"/>
      <c r="N61" s="37"/>
      <c r="O61" s="37"/>
      <c r="P61" s="37"/>
      <c r="Q61" s="37"/>
      <c r="R61" s="37"/>
      <c r="S61" s="37"/>
      <c r="T61" s="37"/>
      <c r="U61" s="37"/>
      <c r="V61" s="37"/>
      <c r="W61" s="37"/>
      <c r="X61" s="37"/>
    </row>
    <row r="62" ht="21.0" customHeight="1">
      <c r="A62" s="37"/>
      <c r="B62" s="37"/>
      <c r="C62" s="37"/>
      <c r="D62" s="37"/>
      <c r="E62" s="37"/>
      <c r="F62" s="37"/>
      <c r="G62" s="37"/>
      <c r="L62" s="37"/>
      <c r="M62" s="37"/>
      <c r="N62" s="37"/>
      <c r="O62" s="37"/>
      <c r="P62" s="37"/>
      <c r="Q62" s="37"/>
      <c r="R62" s="37"/>
      <c r="S62" s="37"/>
      <c r="T62" s="37"/>
      <c r="U62" s="37"/>
      <c r="V62" s="37"/>
      <c r="W62" s="37"/>
      <c r="X62" s="37"/>
    </row>
    <row r="63" ht="21.0" customHeight="1">
      <c r="A63" s="37"/>
      <c r="B63" s="37"/>
      <c r="C63" s="37"/>
      <c r="D63" s="37"/>
      <c r="E63" s="37"/>
      <c r="F63" s="37"/>
      <c r="G63" s="37"/>
      <c r="L63" s="37"/>
      <c r="M63" s="37"/>
      <c r="N63" s="37"/>
      <c r="O63" s="37"/>
      <c r="P63" s="37"/>
      <c r="Q63" s="37"/>
      <c r="R63" s="37"/>
      <c r="S63" s="37"/>
      <c r="T63" s="37"/>
      <c r="U63" s="37"/>
      <c r="V63" s="37"/>
      <c r="W63" s="37"/>
      <c r="X63" s="37"/>
    </row>
    <row r="64" ht="21.0" customHeight="1">
      <c r="A64" s="37"/>
      <c r="B64" s="37"/>
      <c r="C64" s="37"/>
      <c r="D64" s="37"/>
      <c r="E64" s="37"/>
      <c r="F64" s="37"/>
      <c r="G64" s="37"/>
      <c r="L64" s="37"/>
      <c r="M64" s="37"/>
      <c r="N64" s="37"/>
      <c r="O64" s="37"/>
      <c r="P64" s="37"/>
      <c r="Q64" s="37"/>
      <c r="R64" s="37"/>
      <c r="S64" s="37"/>
      <c r="T64" s="37"/>
      <c r="U64" s="37"/>
      <c r="V64" s="37"/>
      <c r="W64" s="37"/>
      <c r="X64" s="37"/>
    </row>
    <row r="65" ht="21.0" customHeight="1">
      <c r="A65" s="37"/>
      <c r="B65" s="37"/>
      <c r="C65" s="37"/>
      <c r="D65" s="37"/>
      <c r="E65" s="37"/>
      <c r="F65" s="37"/>
      <c r="G65" s="37"/>
      <c r="L65" s="37"/>
      <c r="M65" s="37"/>
      <c r="N65" s="37"/>
      <c r="O65" s="37"/>
      <c r="P65" s="37"/>
      <c r="Q65" s="37"/>
      <c r="R65" s="37"/>
      <c r="S65" s="37"/>
      <c r="T65" s="37"/>
      <c r="U65" s="37"/>
      <c r="V65" s="37"/>
      <c r="W65" s="37"/>
      <c r="X65" s="37"/>
    </row>
    <row r="66" ht="21.0" customHeight="1">
      <c r="A66" s="37"/>
      <c r="B66" s="104" t="s">
        <v>92</v>
      </c>
      <c r="C66" s="105" t="s">
        <v>94</v>
      </c>
      <c r="D66" s="106" t="s">
        <v>112</v>
      </c>
      <c r="E66" s="107" t="s">
        <v>113</v>
      </c>
      <c r="F66" s="108" t="s">
        <v>105</v>
      </c>
      <c r="G66" s="108" t="s">
        <v>106</v>
      </c>
      <c r="L66" s="37"/>
      <c r="M66" s="37"/>
      <c r="N66" s="37"/>
      <c r="O66" s="37"/>
      <c r="P66" s="37"/>
      <c r="Q66" s="37"/>
      <c r="R66" s="37"/>
      <c r="S66" s="37"/>
      <c r="T66" s="37"/>
      <c r="U66" s="37"/>
      <c r="V66" s="37"/>
      <c r="W66" s="37"/>
      <c r="X66" s="37"/>
    </row>
    <row r="67" ht="21.0" customHeight="1">
      <c r="A67" s="109" t="s">
        <v>107</v>
      </c>
      <c r="B67" s="84"/>
      <c r="C67" s="84"/>
      <c r="D67" s="84"/>
      <c r="E67" s="84"/>
      <c r="F67" s="78">
        <v>0.0</v>
      </c>
      <c r="G67" s="78">
        <v>0.0</v>
      </c>
      <c r="L67" s="37"/>
      <c r="M67" s="37"/>
      <c r="N67" s="37"/>
      <c r="O67" s="37"/>
      <c r="P67" s="37"/>
      <c r="Q67" s="37"/>
      <c r="R67" s="37"/>
      <c r="S67" s="37"/>
      <c r="T67" s="37"/>
      <c r="U67" s="37"/>
      <c r="V67" s="37"/>
      <c r="W67" s="37"/>
      <c r="X67" s="37"/>
    </row>
    <row r="68" ht="21.0" customHeight="1">
      <c r="A68" s="37" t="s">
        <v>108</v>
      </c>
      <c r="B68" s="85"/>
      <c r="C68" s="85"/>
      <c r="D68" s="85"/>
      <c r="E68" s="85"/>
      <c r="F68" s="85" t="str">
        <f>B68</f>
        <v/>
      </c>
      <c r="G68" s="85" t="str">
        <f>ROUND(F68*TAN($E$47)-(0.5*9.8*(F68/($B$30*COS($E$47)))^2),3)</f>
        <v>#DIV/0!</v>
      </c>
      <c r="L68" s="37"/>
      <c r="M68" s="37"/>
      <c r="N68" s="37"/>
      <c r="O68" s="37"/>
      <c r="P68" s="37"/>
      <c r="Q68" s="37"/>
      <c r="R68" s="37"/>
      <c r="S68" s="37"/>
      <c r="T68" s="37"/>
      <c r="U68" s="37"/>
      <c r="V68" s="37"/>
      <c r="W68" s="37"/>
      <c r="X68" s="37"/>
    </row>
    <row r="69" ht="21.0" customHeight="1">
      <c r="A69" s="86" t="s">
        <v>109</v>
      </c>
      <c r="B69" s="87"/>
      <c r="C69" s="87"/>
      <c r="D69" s="87"/>
      <c r="E69" s="87"/>
      <c r="F69" s="87">
        <f>ROUND((B60^2)*SIN(2*E49)/(2*9.8),3)</f>
        <v>0</v>
      </c>
      <c r="G69" s="87">
        <f>ROUND(((B60*SIN(E47))^2)/(2*9.8),3)</f>
        <v>0</v>
      </c>
      <c r="L69" s="37"/>
      <c r="M69" s="37"/>
      <c r="N69" s="37"/>
      <c r="O69" s="37"/>
      <c r="P69" s="37"/>
      <c r="Q69" s="37"/>
      <c r="R69" s="37"/>
      <c r="S69" s="37"/>
      <c r="T69" s="37"/>
      <c r="U69" s="37"/>
      <c r="V69" s="37"/>
      <c r="W69" s="37"/>
      <c r="X69" s="37"/>
    </row>
    <row r="70" ht="21.0" customHeight="1">
      <c r="A70" s="37" t="s">
        <v>110</v>
      </c>
      <c r="B70" s="85"/>
      <c r="C70" s="85"/>
      <c r="D70" s="85"/>
      <c r="E70" s="85"/>
      <c r="F70" s="85" t="str">
        <f>B70</f>
        <v/>
      </c>
      <c r="G70" s="85" t="str">
        <f>ROUND(F70*TAN($E$47)-(0.5*9.8*(F70/($B$30*COS($E$47)))^2),3)</f>
        <v>#DIV/0!</v>
      </c>
      <c r="L70" s="37"/>
      <c r="M70" s="37"/>
      <c r="N70" s="37"/>
      <c r="O70" s="37"/>
      <c r="P70" s="37"/>
      <c r="Q70" s="37"/>
      <c r="R70" s="37"/>
      <c r="S70" s="37"/>
      <c r="T70" s="37"/>
      <c r="U70" s="37"/>
      <c r="V70" s="37"/>
      <c r="W70" s="37"/>
      <c r="X70" s="37"/>
    </row>
    <row r="71" ht="21.0" customHeight="1">
      <c r="A71" s="86" t="s">
        <v>111</v>
      </c>
      <c r="B71" s="87"/>
      <c r="C71" s="87"/>
      <c r="D71" s="87"/>
      <c r="E71" s="87"/>
      <c r="F71" s="87">
        <f>ROUND((B58^2)*SIN(2*E47)/9.8,3)</f>
        <v>0</v>
      </c>
      <c r="G71" s="87">
        <v>0.0</v>
      </c>
      <c r="L71" s="37"/>
      <c r="M71" s="37"/>
      <c r="N71" s="37"/>
      <c r="O71" s="37"/>
      <c r="P71" s="37"/>
      <c r="Q71" s="37"/>
      <c r="R71" s="37"/>
      <c r="S71" s="37"/>
      <c r="T71" s="37"/>
      <c r="U71" s="37"/>
      <c r="V71" s="37"/>
      <c r="W71" s="37"/>
      <c r="X71" s="37"/>
    </row>
    <row r="72" ht="21.0" customHeight="1">
      <c r="A72" s="37"/>
      <c r="B72" s="37"/>
      <c r="C72" s="37"/>
      <c r="D72" s="37"/>
      <c r="E72" s="37"/>
      <c r="F72" s="37"/>
      <c r="G72" s="37"/>
      <c r="L72" s="37"/>
      <c r="M72" s="37"/>
      <c r="N72" s="37"/>
      <c r="O72" s="37"/>
      <c r="P72" s="37"/>
      <c r="Q72" s="37"/>
      <c r="R72" s="37"/>
      <c r="S72" s="37"/>
      <c r="T72" s="37"/>
      <c r="U72" s="37"/>
      <c r="V72" s="37"/>
      <c r="W72" s="37"/>
      <c r="X72" s="37"/>
    </row>
    <row r="73" ht="21.0" customHeight="1">
      <c r="A73" s="37"/>
      <c r="B73" s="37"/>
      <c r="C73" s="37"/>
      <c r="D73" s="37"/>
      <c r="E73" s="37"/>
      <c r="F73" s="37"/>
      <c r="G73" s="37"/>
      <c r="L73" s="37"/>
      <c r="M73" s="37"/>
      <c r="N73" s="37"/>
      <c r="O73" s="37"/>
      <c r="P73" s="37"/>
      <c r="Q73" s="37"/>
      <c r="R73" s="37"/>
      <c r="S73" s="37"/>
      <c r="T73" s="37"/>
      <c r="U73" s="37"/>
      <c r="V73" s="37"/>
      <c r="W73" s="37"/>
      <c r="X73" s="37"/>
    </row>
    <row r="74" ht="21.0" customHeight="1">
      <c r="A74" s="37"/>
      <c r="B74" s="37"/>
      <c r="C74" s="37"/>
      <c r="D74" s="37"/>
      <c r="E74" s="37"/>
      <c r="F74" s="37"/>
      <c r="G74" s="37"/>
      <c r="H74" s="37"/>
      <c r="I74" s="37"/>
      <c r="J74" s="37"/>
      <c r="K74" s="37"/>
      <c r="L74" s="37"/>
      <c r="M74" s="37"/>
      <c r="N74" s="37"/>
      <c r="O74" s="37"/>
      <c r="P74" s="37"/>
      <c r="Q74" s="37"/>
      <c r="R74" s="37"/>
      <c r="S74" s="37"/>
      <c r="T74" s="37"/>
      <c r="U74" s="37"/>
      <c r="V74" s="37"/>
      <c r="W74" s="37"/>
      <c r="X74" s="37"/>
    </row>
    <row r="75" ht="36.0" customHeight="1">
      <c r="A75" s="61" t="s">
        <v>82</v>
      </c>
      <c r="B75" s="42"/>
      <c r="C75" s="42"/>
      <c r="D75" s="43"/>
      <c r="E75" s="62">
        <v>60.0</v>
      </c>
      <c r="F75" s="49"/>
      <c r="G75" s="44"/>
      <c r="H75" s="44"/>
      <c r="I75" s="44"/>
      <c r="J75" s="44"/>
      <c r="K75" s="44"/>
      <c r="L75" s="37"/>
      <c r="M75" s="37"/>
      <c r="N75" s="37"/>
      <c r="O75" s="37"/>
      <c r="P75" s="37"/>
      <c r="Q75" s="37"/>
      <c r="R75" s="37"/>
      <c r="S75" s="37"/>
      <c r="T75" s="37"/>
      <c r="U75" s="37"/>
      <c r="V75" s="37"/>
      <c r="W75" s="37"/>
      <c r="X75" s="37"/>
    </row>
    <row r="76" ht="44.25" customHeight="1">
      <c r="A76" s="37"/>
      <c r="B76" s="37"/>
      <c r="C76" s="37"/>
      <c r="D76" s="63" t="s">
        <v>83</v>
      </c>
      <c r="E76" s="64">
        <f>RADIANS(E75)</f>
        <v>1.047197551</v>
      </c>
      <c r="F76" s="49"/>
      <c r="G76" s="44"/>
      <c r="H76" s="44"/>
      <c r="I76" s="44"/>
      <c r="J76" s="44"/>
      <c r="K76" s="44"/>
      <c r="L76" s="37"/>
      <c r="M76" s="37"/>
      <c r="N76" s="37"/>
      <c r="O76" s="37"/>
      <c r="P76" s="37"/>
      <c r="Q76" s="37"/>
      <c r="R76" s="37"/>
      <c r="S76" s="37"/>
      <c r="T76" s="37"/>
      <c r="U76" s="37"/>
      <c r="V76" s="37"/>
      <c r="W76" s="37"/>
      <c r="X76" s="37"/>
    </row>
    <row r="77" ht="21.0" customHeight="1">
      <c r="A77" s="37"/>
      <c r="B77" s="37"/>
      <c r="C77" s="59"/>
      <c r="D77" s="60"/>
      <c r="E77" s="52"/>
      <c r="F77" s="49"/>
      <c r="G77" s="44"/>
      <c r="H77" s="44"/>
      <c r="I77" s="44"/>
      <c r="J77" s="44"/>
      <c r="K77" s="44"/>
      <c r="L77" s="37"/>
      <c r="M77" s="37"/>
      <c r="N77" s="37"/>
      <c r="O77" s="37"/>
      <c r="P77" s="37"/>
      <c r="Q77" s="37"/>
      <c r="R77" s="37"/>
      <c r="S77" s="37"/>
      <c r="T77" s="37"/>
      <c r="U77" s="37"/>
      <c r="V77" s="37"/>
      <c r="W77" s="37"/>
      <c r="X77" s="37"/>
    </row>
    <row r="78" ht="21.0" customHeight="1">
      <c r="A78" s="37"/>
      <c r="B78" s="37"/>
      <c r="C78" s="65" t="s">
        <v>84</v>
      </c>
      <c r="D78" s="47"/>
      <c r="E78" s="47"/>
      <c r="F78" s="47"/>
      <c r="G78" s="47"/>
      <c r="H78" s="47"/>
      <c r="I78" s="47"/>
      <c r="J78" s="47"/>
      <c r="K78" s="66"/>
      <c r="L78" s="37"/>
      <c r="M78" s="37"/>
      <c r="N78" s="37"/>
      <c r="O78" s="37"/>
      <c r="P78" s="37"/>
      <c r="Q78" s="37"/>
      <c r="R78" s="37"/>
      <c r="S78" s="37"/>
      <c r="T78" s="37"/>
      <c r="U78" s="37"/>
      <c r="V78" s="37"/>
      <c r="W78" s="37"/>
      <c r="X78" s="37"/>
    </row>
    <row r="79" ht="21.0" customHeight="1">
      <c r="A79" s="37"/>
      <c r="B79" s="37"/>
      <c r="C79" s="56"/>
      <c r="D79" s="57"/>
      <c r="E79" s="57"/>
      <c r="F79" s="57"/>
      <c r="G79" s="57"/>
      <c r="H79" s="57"/>
      <c r="I79" s="57"/>
      <c r="J79" s="57"/>
      <c r="K79" s="67"/>
      <c r="L79" s="37"/>
      <c r="M79" s="37"/>
      <c r="N79" s="37"/>
      <c r="O79" s="37"/>
      <c r="P79" s="37"/>
      <c r="Q79" s="37"/>
      <c r="R79" s="37"/>
      <c r="S79" s="37"/>
      <c r="T79" s="37"/>
      <c r="U79" s="37"/>
      <c r="V79" s="37"/>
      <c r="W79" s="37"/>
      <c r="X79" s="37"/>
    </row>
    <row r="80" ht="21.0" customHeight="1">
      <c r="A80" s="37"/>
      <c r="B80" s="37"/>
      <c r="C80" s="37"/>
      <c r="D80" s="54"/>
      <c r="E80" s="54"/>
      <c r="F80" s="49"/>
      <c r="G80" s="44"/>
      <c r="H80" s="44"/>
      <c r="I80" s="44"/>
      <c r="J80" s="44"/>
      <c r="K80" s="44"/>
      <c r="L80" s="37"/>
      <c r="M80" s="37"/>
      <c r="N80" s="37"/>
      <c r="O80" s="37"/>
      <c r="P80" s="37"/>
      <c r="Q80" s="37"/>
      <c r="R80" s="37"/>
      <c r="S80" s="37"/>
      <c r="T80" s="37"/>
      <c r="U80" s="37"/>
      <c r="V80" s="37"/>
      <c r="W80" s="37"/>
      <c r="X80" s="37"/>
    </row>
    <row r="81" ht="21.0" customHeight="1">
      <c r="A81" s="37"/>
      <c r="B81" s="37"/>
      <c r="C81" s="37"/>
      <c r="D81" s="54"/>
      <c r="E81" s="54"/>
      <c r="F81" s="49"/>
      <c r="G81" s="44"/>
      <c r="H81" s="44"/>
      <c r="I81" s="44"/>
      <c r="J81" s="44"/>
      <c r="K81" s="44"/>
      <c r="L81" s="37"/>
      <c r="M81" s="37"/>
      <c r="N81" s="37"/>
      <c r="O81" s="37"/>
      <c r="P81" s="37"/>
      <c r="Q81" s="37"/>
      <c r="R81" s="37"/>
      <c r="S81" s="37"/>
      <c r="T81" s="37"/>
      <c r="U81" s="37"/>
      <c r="V81" s="37"/>
      <c r="W81" s="37"/>
      <c r="X81" s="37"/>
    </row>
    <row r="82" ht="21.0" customHeight="1">
      <c r="A82" s="37"/>
      <c r="B82" s="37"/>
      <c r="C82" s="68" t="s">
        <v>85</v>
      </c>
      <c r="D82" s="57"/>
      <c r="E82" s="44"/>
      <c r="F82" s="68" t="s">
        <v>86</v>
      </c>
      <c r="G82" s="57"/>
      <c r="H82" s="44"/>
      <c r="I82" s="110" t="s">
        <v>87</v>
      </c>
      <c r="J82" s="111"/>
      <c r="K82" s="44"/>
      <c r="L82" s="68" t="s">
        <v>88</v>
      </c>
      <c r="M82" s="57"/>
      <c r="O82" s="69" t="s">
        <v>89</v>
      </c>
      <c r="P82" s="70"/>
      <c r="R82" s="37"/>
      <c r="S82" s="37"/>
      <c r="T82" s="37"/>
      <c r="U82" s="37"/>
      <c r="V82" s="37"/>
      <c r="W82" s="37"/>
      <c r="X82" s="37"/>
    </row>
    <row r="83" ht="21.0" customHeight="1">
      <c r="A83" s="71"/>
      <c r="B83" s="72" t="s">
        <v>90</v>
      </c>
      <c r="C83" s="73" t="s">
        <v>91</v>
      </c>
      <c r="D83" s="74">
        <v>0.0</v>
      </c>
      <c r="E83" s="71"/>
      <c r="F83" s="75" t="s">
        <v>91</v>
      </c>
      <c r="G83" s="74"/>
      <c r="H83" s="71"/>
      <c r="I83" s="76" t="s">
        <v>92</v>
      </c>
      <c r="J83" s="77"/>
      <c r="K83" s="71"/>
      <c r="L83" s="75" t="s">
        <v>91</v>
      </c>
      <c r="M83" s="74"/>
      <c r="O83" s="76" t="s">
        <v>93</v>
      </c>
      <c r="P83" s="77">
        <v>0.0</v>
      </c>
      <c r="R83" s="71"/>
      <c r="S83" s="71"/>
      <c r="T83" s="71"/>
      <c r="U83" s="71"/>
      <c r="V83" s="71"/>
      <c r="W83" s="71"/>
      <c r="X83" s="71"/>
    </row>
    <row r="84" ht="21.0" customHeight="1">
      <c r="A84" s="37"/>
      <c r="B84" s="78"/>
      <c r="C84" s="79"/>
      <c r="D84" s="80" t="s">
        <v>94</v>
      </c>
      <c r="E84" s="37"/>
      <c r="F84" s="79"/>
      <c r="G84" s="80" t="s">
        <v>94</v>
      </c>
      <c r="H84" s="44"/>
      <c r="I84" s="81"/>
      <c r="J84" s="82" t="s">
        <v>94</v>
      </c>
      <c r="K84" s="44"/>
      <c r="L84" s="79"/>
      <c r="M84" s="80" t="s">
        <v>94</v>
      </c>
      <c r="O84" s="81"/>
      <c r="P84" s="82" t="s">
        <v>92</v>
      </c>
      <c r="R84" s="37"/>
      <c r="S84" s="37"/>
      <c r="T84" s="37"/>
      <c r="U84" s="37"/>
      <c r="V84" s="37"/>
      <c r="W84" s="37"/>
      <c r="X84" s="37"/>
    </row>
    <row r="85" ht="21.0" customHeight="1">
      <c r="A85" s="83" t="s">
        <v>95</v>
      </c>
      <c r="B85" s="84"/>
      <c r="C85" s="37"/>
      <c r="D85" s="85">
        <v>0.0</v>
      </c>
      <c r="E85" s="37"/>
      <c r="F85" s="37"/>
      <c r="G85" s="85"/>
      <c r="H85" s="44"/>
      <c r="I85" s="86"/>
      <c r="J85" s="87"/>
      <c r="K85" s="37"/>
      <c r="L85" s="37"/>
      <c r="M85" s="85"/>
      <c r="O85" s="86"/>
      <c r="P85" s="87"/>
      <c r="R85" s="37"/>
      <c r="S85" s="37"/>
      <c r="T85" s="37"/>
      <c r="U85" s="37"/>
      <c r="V85" s="37"/>
      <c r="W85" s="37"/>
      <c r="X85" s="37"/>
    </row>
    <row r="86" ht="21.0" customHeight="1">
      <c r="A86" s="83" t="s">
        <v>96</v>
      </c>
      <c r="B86" s="88"/>
      <c r="C86" s="37"/>
      <c r="D86" s="85">
        <v>0.0</v>
      </c>
      <c r="E86" s="37"/>
      <c r="F86" s="37"/>
      <c r="G86" s="85"/>
      <c r="H86" s="44"/>
      <c r="I86" s="86"/>
      <c r="J86" s="87"/>
      <c r="K86" s="37"/>
      <c r="L86" s="37"/>
      <c r="M86" s="85"/>
      <c r="O86" s="86"/>
      <c r="P86" s="87"/>
      <c r="R86" s="37"/>
      <c r="S86" s="37"/>
      <c r="T86" s="37"/>
      <c r="U86" s="37"/>
      <c r="V86" s="37"/>
      <c r="W86" s="37"/>
      <c r="X86" s="37"/>
    </row>
    <row r="87" ht="21.0" customHeight="1">
      <c r="A87" s="89" t="s">
        <v>97</v>
      </c>
      <c r="B87" s="90"/>
      <c r="C87" s="91" t="s">
        <v>98</v>
      </c>
      <c r="D87" s="92"/>
      <c r="E87" s="37"/>
      <c r="F87" s="93" t="s">
        <v>99</v>
      </c>
      <c r="G87" s="92"/>
      <c r="H87" s="37"/>
      <c r="I87" s="94" t="s">
        <v>99</v>
      </c>
      <c r="J87" s="95"/>
      <c r="K87" s="37"/>
      <c r="L87" s="93" t="s">
        <v>99</v>
      </c>
      <c r="M87" s="92"/>
      <c r="O87" s="94" t="s">
        <v>99</v>
      </c>
      <c r="P87" s="95"/>
      <c r="R87" s="37"/>
      <c r="S87" s="37"/>
      <c r="T87" s="37"/>
      <c r="U87" s="37"/>
      <c r="V87" s="37"/>
      <c r="W87" s="37"/>
      <c r="X87" s="37"/>
    </row>
    <row r="88" ht="21.0" customHeight="1">
      <c r="A88" s="96" t="s">
        <v>100</v>
      </c>
      <c r="B88" s="97"/>
      <c r="C88" s="98" t="s">
        <v>101</v>
      </c>
      <c r="D88" s="99"/>
      <c r="E88" s="37"/>
      <c r="F88" s="100" t="s">
        <v>101</v>
      </c>
      <c r="G88" s="99"/>
      <c r="H88" s="37"/>
      <c r="I88" s="101" t="s">
        <v>101</v>
      </c>
      <c r="J88" s="102"/>
      <c r="K88" s="37"/>
      <c r="L88" s="100" t="s">
        <v>101</v>
      </c>
      <c r="M88" s="99"/>
      <c r="O88" s="101" t="s">
        <v>101</v>
      </c>
      <c r="P88" s="102"/>
      <c r="R88" s="37"/>
      <c r="S88" s="37"/>
      <c r="T88" s="37"/>
      <c r="U88" s="37"/>
      <c r="V88" s="37"/>
      <c r="W88" s="37"/>
      <c r="X88" s="37"/>
    </row>
    <row r="89" ht="21.0" customHeight="1">
      <c r="A89" s="37"/>
      <c r="B89" s="37"/>
      <c r="C89" s="37"/>
      <c r="D89" s="37"/>
      <c r="E89" s="37"/>
      <c r="F89" s="37"/>
      <c r="G89" s="103"/>
      <c r="H89" s="103"/>
      <c r="I89" s="103"/>
      <c r="J89" s="103"/>
      <c r="K89" s="37"/>
      <c r="L89" s="37"/>
      <c r="M89" s="37"/>
      <c r="N89" s="37"/>
      <c r="O89" s="37"/>
      <c r="P89" s="37"/>
      <c r="Q89" s="37"/>
      <c r="R89" s="37"/>
      <c r="S89" s="37"/>
      <c r="T89" s="37"/>
      <c r="U89" s="37"/>
      <c r="V89" s="37"/>
      <c r="W89" s="37"/>
      <c r="X89" s="37"/>
    </row>
    <row r="90" ht="21.0" customHeight="1">
      <c r="A90" s="37"/>
      <c r="B90" s="37"/>
      <c r="C90" s="37"/>
      <c r="D90" s="37"/>
      <c r="E90" s="37"/>
      <c r="F90" s="37"/>
      <c r="G90" s="37"/>
      <c r="H90" s="103"/>
      <c r="I90" s="103"/>
      <c r="J90" s="103"/>
      <c r="K90" s="37"/>
      <c r="L90" s="37"/>
      <c r="M90" s="37"/>
      <c r="N90" s="37"/>
      <c r="O90" s="37"/>
      <c r="P90" s="37"/>
      <c r="Q90" s="37"/>
      <c r="R90" s="37"/>
      <c r="S90" s="37"/>
      <c r="T90" s="37"/>
      <c r="U90" s="37"/>
      <c r="V90" s="37"/>
      <c r="W90" s="37"/>
      <c r="X90" s="37"/>
    </row>
    <row r="91" ht="21.0" customHeight="1">
      <c r="A91" s="37"/>
      <c r="B91" s="37"/>
      <c r="C91" s="37"/>
      <c r="D91" s="37"/>
      <c r="E91" s="37"/>
      <c r="F91" s="37"/>
      <c r="G91" s="37"/>
      <c r="H91" s="37" t="s">
        <v>102</v>
      </c>
      <c r="L91" s="37"/>
      <c r="M91" s="37"/>
      <c r="N91" s="37"/>
      <c r="O91" s="37"/>
      <c r="P91" s="37"/>
      <c r="Q91" s="37"/>
      <c r="R91" s="37"/>
      <c r="S91" s="37"/>
      <c r="T91" s="37"/>
      <c r="U91" s="37"/>
      <c r="V91" s="37"/>
      <c r="W91" s="37"/>
      <c r="X91" s="37"/>
    </row>
    <row r="92" ht="21.0" customHeight="1">
      <c r="A92" s="37"/>
      <c r="B92" s="37"/>
      <c r="C92" s="37"/>
      <c r="D92" s="37"/>
      <c r="E92" s="37"/>
      <c r="F92" s="37"/>
      <c r="G92" s="37"/>
      <c r="L92" s="37"/>
      <c r="M92" s="37"/>
      <c r="N92" s="37"/>
      <c r="O92" s="37"/>
      <c r="P92" s="37"/>
      <c r="Q92" s="37"/>
      <c r="R92" s="37"/>
      <c r="S92" s="37"/>
      <c r="T92" s="37"/>
      <c r="U92" s="37"/>
      <c r="V92" s="37"/>
      <c r="W92" s="37"/>
      <c r="X92" s="37"/>
    </row>
    <row r="93" ht="21.0" customHeight="1">
      <c r="A93" s="37"/>
      <c r="B93" s="37"/>
      <c r="C93" s="37"/>
      <c r="D93" s="37"/>
      <c r="E93" s="37"/>
      <c r="F93" s="37"/>
      <c r="G93" s="37"/>
      <c r="L93" s="37"/>
      <c r="M93" s="37"/>
      <c r="N93" s="37"/>
      <c r="O93" s="37"/>
      <c r="P93" s="37"/>
      <c r="Q93" s="37"/>
      <c r="R93" s="37"/>
      <c r="S93" s="37"/>
      <c r="T93" s="37"/>
      <c r="U93" s="37"/>
      <c r="V93" s="37"/>
      <c r="W93" s="37"/>
      <c r="X93" s="37"/>
    </row>
    <row r="94" ht="21.0" customHeight="1">
      <c r="A94" s="37"/>
      <c r="B94" s="37"/>
      <c r="C94" s="37"/>
      <c r="D94" s="37"/>
      <c r="E94" s="37"/>
      <c r="F94" s="37"/>
      <c r="G94" s="37"/>
      <c r="L94" s="37"/>
      <c r="M94" s="37"/>
      <c r="N94" s="37"/>
      <c r="O94" s="37"/>
      <c r="P94" s="37"/>
      <c r="Q94" s="37"/>
      <c r="R94" s="37"/>
      <c r="S94" s="37"/>
      <c r="T94" s="37"/>
      <c r="U94" s="37"/>
      <c r="V94" s="37"/>
      <c r="W94" s="37"/>
      <c r="X94" s="37"/>
    </row>
    <row r="95" ht="21.0" customHeight="1">
      <c r="A95" s="37"/>
      <c r="B95" s="104" t="s">
        <v>92</v>
      </c>
      <c r="C95" s="105" t="s">
        <v>94</v>
      </c>
      <c r="D95" s="106" t="s">
        <v>114</v>
      </c>
      <c r="E95" s="107" t="s">
        <v>115</v>
      </c>
      <c r="F95" s="108" t="s">
        <v>105</v>
      </c>
      <c r="G95" s="108" t="s">
        <v>106</v>
      </c>
      <c r="L95" s="37"/>
      <c r="M95" s="37"/>
      <c r="N95" s="37"/>
      <c r="O95" s="37"/>
      <c r="P95" s="37"/>
      <c r="Q95" s="37"/>
      <c r="R95" s="37"/>
      <c r="S95" s="37"/>
      <c r="T95" s="37"/>
      <c r="U95" s="37"/>
      <c r="V95" s="37"/>
      <c r="W95" s="37"/>
      <c r="X95" s="37"/>
    </row>
    <row r="96" ht="21.0" customHeight="1">
      <c r="A96" s="109" t="s">
        <v>107</v>
      </c>
      <c r="B96" s="84"/>
      <c r="C96" s="84"/>
      <c r="D96" s="84"/>
      <c r="E96" s="84"/>
      <c r="F96" s="78">
        <v>0.0</v>
      </c>
      <c r="G96" s="78">
        <v>0.0</v>
      </c>
      <c r="L96" s="37"/>
      <c r="M96" s="37"/>
      <c r="N96" s="37"/>
      <c r="O96" s="37"/>
      <c r="P96" s="37"/>
      <c r="Q96" s="37"/>
      <c r="R96" s="37"/>
      <c r="S96" s="37"/>
      <c r="T96" s="37"/>
      <c r="U96" s="37"/>
      <c r="V96" s="37"/>
      <c r="W96" s="37"/>
      <c r="X96" s="37"/>
    </row>
    <row r="97" ht="21.0" customHeight="1">
      <c r="A97" s="37" t="s">
        <v>108</v>
      </c>
      <c r="B97" s="85"/>
      <c r="C97" s="85"/>
      <c r="D97" s="85"/>
      <c r="E97" s="85"/>
      <c r="F97" s="85" t="str">
        <f>B97</f>
        <v/>
      </c>
      <c r="G97" s="85" t="str">
        <f>ROUND(F97*TAN($E$76)-(0.5*9.8*(F97/($B$30*COS($E$76)))^2),3)</f>
        <v>#DIV/0!</v>
      </c>
      <c r="L97" s="37"/>
      <c r="M97" s="37"/>
      <c r="N97" s="37"/>
      <c r="O97" s="37"/>
      <c r="P97" s="37"/>
      <c r="Q97" s="37"/>
      <c r="R97" s="37"/>
      <c r="S97" s="37"/>
      <c r="T97" s="37"/>
      <c r="U97" s="37"/>
      <c r="V97" s="37"/>
      <c r="W97" s="37"/>
      <c r="X97" s="37"/>
    </row>
    <row r="98" ht="21.0" customHeight="1">
      <c r="A98" s="86" t="s">
        <v>109</v>
      </c>
      <c r="B98" s="87"/>
      <c r="C98" s="87"/>
      <c r="D98" s="87"/>
      <c r="E98" s="87"/>
      <c r="F98" s="87">
        <f>ROUND((B89^2)*SIN(2*E78)/(2*9.8),3)</f>
        <v>0</v>
      </c>
      <c r="G98" s="87">
        <f>ROUND(((B89*SIN(E78))^2)/(2*9.8),3)</f>
        <v>0</v>
      </c>
      <c r="L98" s="37"/>
      <c r="M98" s="37"/>
      <c r="N98" s="37"/>
      <c r="O98" s="37"/>
      <c r="P98" s="37"/>
      <c r="Q98" s="37"/>
      <c r="R98" s="37"/>
      <c r="S98" s="37"/>
      <c r="T98" s="37"/>
      <c r="U98" s="37"/>
      <c r="V98" s="37"/>
      <c r="W98" s="37"/>
      <c r="X98" s="37"/>
    </row>
    <row r="99" ht="21.0" customHeight="1">
      <c r="A99" s="37" t="s">
        <v>110</v>
      </c>
      <c r="B99" s="85"/>
      <c r="C99" s="85"/>
      <c r="D99" s="85"/>
      <c r="E99" s="85"/>
      <c r="F99" s="85" t="str">
        <f>B99</f>
        <v/>
      </c>
      <c r="G99" s="85" t="str">
        <f>ROUND(F99*TAN($E$76)-(0.5*9.8*(F99/($B$30*COS($E$76)))^2),3)</f>
        <v>#DIV/0!</v>
      </c>
      <c r="L99" s="37"/>
      <c r="M99" s="37"/>
      <c r="N99" s="37"/>
      <c r="O99" s="37"/>
      <c r="P99" s="37"/>
      <c r="Q99" s="37"/>
      <c r="R99" s="37"/>
      <c r="S99" s="37"/>
      <c r="T99" s="37"/>
      <c r="U99" s="37"/>
      <c r="V99" s="37"/>
      <c r="W99" s="37"/>
      <c r="X99" s="37"/>
    </row>
    <row r="100" ht="21.0" customHeight="1">
      <c r="A100" s="86" t="s">
        <v>111</v>
      </c>
      <c r="B100" s="87"/>
      <c r="C100" s="87"/>
      <c r="D100" s="87"/>
      <c r="E100" s="87"/>
      <c r="F100" s="87">
        <f>ROUND((B87^2)*SIN(2*E76)/9.8,3)</f>
        <v>0</v>
      </c>
      <c r="G100" s="87">
        <v>0.0</v>
      </c>
      <c r="L100" s="37"/>
      <c r="M100" s="37"/>
      <c r="N100" s="37"/>
      <c r="O100" s="37"/>
      <c r="P100" s="37"/>
      <c r="Q100" s="37"/>
      <c r="R100" s="37"/>
      <c r="S100" s="37"/>
      <c r="T100" s="37"/>
      <c r="U100" s="37"/>
      <c r="V100" s="37"/>
      <c r="W100" s="37"/>
      <c r="X100" s="37"/>
    </row>
    <row r="101" ht="13.5" customHeight="1">
      <c r="A101" s="37"/>
      <c r="B101" s="37"/>
      <c r="C101" s="37"/>
      <c r="D101" s="37"/>
      <c r="E101" s="37"/>
      <c r="F101" s="37"/>
      <c r="G101" s="37"/>
      <c r="L101" s="37"/>
      <c r="M101" s="37"/>
      <c r="N101" s="37"/>
      <c r="O101" s="37"/>
      <c r="P101" s="37"/>
      <c r="Q101" s="37"/>
      <c r="R101" s="37"/>
      <c r="S101" s="37"/>
      <c r="T101" s="37"/>
      <c r="U101" s="37"/>
      <c r="V101" s="37"/>
      <c r="W101" s="37"/>
      <c r="X101" s="37"/>
    </row>
    <row r="102" ht="13.5" customHeight="1">
      <c r="A102" s="37"/>
      <c r="B102" s="37"/>
      <c r="C102" s="37"/>
      <c r="D102" s="37"/>
      <c r="E102" s="37"/>
      <c r="F102" s="37"/>
      <c r="G102" s="37"/>
      <c r="L102" s="37"/>
      <c r="M102" s="37"/>
      <c r="N102" s="37"/>
      <c r="O102" s="37"/>
      <c r="P102" s="37"/>
      <c r="Q102" s="37"/>
      <c r="R102" s="37"/>
      <c r="S102" s="37"/>
      <c r="T102" s="37"/>
      <c r="U102" s="37"/>
      <c r="V102" s="37"/>
      <c r="W102" s="37"/>
      <c r="X102" s="37"/>
    </row>
    <row r="103" ht="13.5" customHeight="1">
      <c r="A103" s="37"/>
      <c r="B103" s="37"/>
      <c r="C103" s="37"/>
      <c r="D103" s="37"/>
      <c r="E103" s="37"/>
      <c r="F103" s="37"/>
      <c r="G103" s="37"/>
      <c r="L103" s="37"/>
      <c r="M103" s="37"/>
      <c r="N103" s="37"/>
      <c r="O103" s="37"/>
      <c r="P103" s="37"/>
      <c r="Q103" s="37"/>
      <c r="R103" s="37"/>
      <c r="S103" s="37"/>
      <c r="T103" s="37"/>
      <c r="U103" s="37"/>
      <c r="V103" s="37"/>
      <c r="W103" s="37"/>
      <c r="X103" s="37"/>
    </row>
    <row r="104" ht="13.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row>
    <row r="105" ht="13.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row>
    <row r="106" ht="13.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row>
    <row r="107" ht="13.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row>
    <row r="108" ht="13.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row>
    <row r="109" ht="13.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row>
    <row r="110" ht="13.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row>
    <row r="111" ht="13.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row>
    <row r="112" ht="13.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row>
    <row r="113" ht="13.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row>
    <row r="114" ht="13.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row>
    <row r="115" ht="13.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row>
    <row r="116" ht="13.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row>
    <row r="117" ht="13.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row>
    <row r="118" ht="13.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row>
    <row r="119" ht="13.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row>
    <row r="120" ht="13.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row>
    <row r="121" ht="13.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row>
    <row r="122" ht="13.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row>
    <row r="123" ht="13.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row>
    <row r="124" ht="13.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row>
    <row r="125" ht="13.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row>
    <row r="126" ht="13.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row>
    <row r="127" ht="13.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row>
    <row r="128" ht="13.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row>
    <row r="129" ht="13.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row>
    <row r="130" ht="13.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row>
    <row r="131" ht="13.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row>
    <row r="132" ht="13.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row>
    <row r="133" ht="13.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row>
    <row r="134" ht="13.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row>
    <row r="135" ht="13.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row>
    <row r="136" ht="13.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row>
    <row r="137" ht="13.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row>
    <row r="138" ht="13.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row>
    <row r="139" ht="13.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row>
    <row r="140" ht="13.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row>
    <row r="141" ht="13.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row>
    <row r="142" ht="13.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row>
    <row r="143" ht="13.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row>
    <row r="144" ht="13.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row>
    <row r="145" ht="13.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row>
    <row r="146" ht="13.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row>
    <row r="147" ht="13.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row>
    <row r="148" ht="13.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row>
    <row r="149" ht="13.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row>
    <row r="150" ht="13.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row>
    <row r="151" ht="13.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row>
    <row r="152" ht="13.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row>
    <row r="153" ht="13.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row>
    <row r="154" ht="13.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row>
    <row r="155" ht="13.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row>
    <row r="156" ht="13.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row>
    <row r="157" ht="13.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row>
    <row r="158" ht="13.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row>
    <row r="159" ht="13.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row>
    <row r="160" ht="13.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row>
    <row r="161" ht="13.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row>
    <row r="162" ht="13.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row>
    <row r="163" ht="13.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row>
    <row r="164" ht="13.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row>
    <row r="165" ht="13.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row>
    <row r="166" ht="13.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row>
    <row r="167" ht="13.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row>
    <row r="168" ht="13.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row>
    <row r="169" ht="13.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row>
    <row r="170" ht="13.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row>
    <row r="171" ht="13.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row>
    <row r="172" ht="13.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row>
    <row r="173" ht="13.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row>
    <row r="174" ht="13.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row>
    <row r="175" ht="13.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row>
    <row r="176" ht="13.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row>
    <row r="177" ht="13.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row>
    <row r="178" ht="13.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row>
    <row r="179" ht="13.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row>
    <row r="180" ht="13.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row>
    <row r="181" ht="13.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row>
    <row r="182" ht="13.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row>
    <row r="183" ht="13.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row>
    <row r="184" ht="13.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row>
    <row r="185" ht="13.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row>
    <row r="186" ht="13.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row>
    <row r="187" ht="13.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row>
    <row r="188" ht="13.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row>
    <row r="189" ht="13.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row>
    <row r="190" ht="13.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row>
    <row r="191" ht="13.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row>
    <row r="192" ht="13.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row>
    <row r="193" ht="13.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row>
    <row r="194" ht="13.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row>
    <row r="195" ht="13.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row>
    <row r="196" ht="13.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row>
    <row r="197" ht="13.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row>
    <row r="198" ht="13.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row>
    <row r="199" ht="13.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row>
    <row r="200" ht="13.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row>
    <row r="201" ht="13.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row>
    <row r="202" ht="13.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row>
    <row r="203" ht="13.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row>
    <row r="204" ht="13.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row>
    <row r="205" ht="13.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row>
    <row r="206" ht="13.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row>
    <row r="207" ht="13.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row>
    <row r="208" ht="13.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row>
    <row r="209" ht="13.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row>
    <row r="210" ht="13.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row>
    <row r="211" ht="13.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row>
    <row r="212" ht="13.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row>
    <row r="213" ht="13.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row>
    <row r="214" ht="13.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row>
    <row r="215" ht="13.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row>
    <row r="216" ht="13.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row>
    <row r="217" ht="13.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row>
    <row r="218" ht="13.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row>
    <row r="219" ht="13.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row>
    <row r="220" ht="13.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row>
    <row r="221" ht="13.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row>
    <row r="222" ht="13.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row>
    <row r="223" ht="13.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row>
    <row r="224" ht="13.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row>
    <row r="225" ht="13.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row>
    <row r="226" ht="13.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row>
    <row r="227" ht="13.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row>
    <row r="228" ht="13.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row>
    <row r="229" ht="13.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row>
    <row r="230" ht="13.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row>
    <row r="231" ht="13.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row>
    <row r="232" ht="13.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row>
    <row r="233" ht="13.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row>
    <row r="234" ht="13.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row>
    <row r="235" ht="13.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row>
    <row r="236" ht="13.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row>
    <row r="237" ht="13.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row>
    <row r="238" ht="13.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row>
    <row r="239" ht="13.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row>
    <row r="240" ht="13.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row>
    <row r="241" ht="13.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row>
    <row r="242" ht="13.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row>
    <row r="243" ht="13.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row>
    <row r="244" ht="13.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row>
    <row r="245" ht="13.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row>
    <row r="246" ht="13.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row>
    <row r="247" ht="13.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row>
    <row r="248" ht="13.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row>
    <row r="249" ht="13.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row>
    <row r="250" ht="13.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row>
    <row r="251" ht="13.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row>
    <row r="252" ht="13.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row>
    <row r="253" ht="13.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row>
    <row r="254" ht="13.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row>
    <row r="255" ht="13.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row>
    <row r="256" ht="13.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row>
    <row r="257" ht="13.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row>
    <row r="258" ht="13.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row>
    <row r="259" ht="13.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row>
    <row r="260" ht="13.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row>
    <row r="261" ht="13.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row>
    <row r="262" ht="13.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row>
    <row r="263" ht="13.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row>
    <row r="264" ht="13.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row>
    <row r="265" ht="13.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row>
    <row r="266" ht="13.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row>
    <row r="267" ht="13.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row>
    <row r="268" ht="13.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row>
    <row r="269" ht="13.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row>
    <row r="270" ht="13.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row>
    <row r="271" ht="13.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row>
    <row r="272" ht="13.5" customHeight="1">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row>
    <row r="273" ht="13.5" customHeight="1">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row>
    <row r="274" ht="13.5" customHeight="1">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row>
    <row r="275" ht="13.5" customHeight="1">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row>
    <row r="276" ht="13.5" customHeight="1">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row>
    <row r="277" ht="13.5" customHeight="1">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row>
    <row r="278" ht="13.5" customHeight="1">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row>
    <row r="279" ht="13.5" customHeight="1">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row>
    <row r="280" ht="13.5" customHeight="1">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row>
    <row r="281" ht="13.5" customHeight="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row>
    <row r="282" ht="13.5" customHeight="1">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row>
    <row r="283" ht="13.5" customHeight="1">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row>
    <row r="284" ht="13.5" customHeight="1">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row>
    <row r="285" ht="13.5" customHeight="1">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row>
    <row r="286" ht="13.5" customHeight="1">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row>
    <row r="287" ht="13.5" customHeight="1">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row>
    <row r="288" ht="13.5" customHeight="1">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row>
    <row r="289" ht="13.5" customHeight="1">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row>
    <row r="290" ht="13.5" customHeight="1">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row>
    <row r="291" ht="13.5" customHeight="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row>
    <row r="292" ht="13.5" customHeight="1">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row>
    <row r="293" ht="13.5" customHeight="1">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row>
    <row r="294" ht="13.5" customHeight="1">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row>
    <row r="295" ht="13.5" customHeight="1">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row>
    <row r="296" ht="13.5" customHeight="1">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row>
    <row r="297" ht="13.5" customHeight="1">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row>
    <row r="298" ht="13.5" customHeight="1">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row>
    <row r="299" ht="13.5" customHeight="1">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row>
    <row r="300" ht="13.5" customHeight="1">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row>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6">
    <mergeCell ref="I25:J25"/>
    <mergeCell ref="L25:M25"/>
    <mergeCell ref="O25:P25"/>
    <mergeCell ref="G1:I1"/>
    <mergeCell ref="F2:J2"/>
    <mergeCell ref="F4:K15"/>
    <mergeCell ref="A18:D18"/>
    <mergeCell ref="C21:K22"/>
    <mergeCell ref="C25:D25"/>
    <mergeCell ref="F25:G25"/>
    <mergeCell ref="C53:D53"/>
    <mergeCell ref="A75:D75"/>
    <mergeCell ref="C82:D82"/>
    <mergeCell ref="C78:K79"/>
    <mergeCell ref="F82:G82"/>
    <mergeCell ref="I82:J82"/>
    <mergeCell ref="L82:M82"/>
    <mergeCell ref="O82:P82"/>
    <mergeCell ref="H91:K103"/>
    <mergeCell ref="A46:D46"/>
    <mergeCell ref="C49:K50"/>
    <mergeCell ref="F53:G53"/>
    <mergeCell ref="I53:J53"/>
    <mergeCell ref="L53:M53"/>
    <mergeCell ref="O53:P53"/>
    <mergeCell ref="H61:K7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14"/>
    <col customWidth="1" min="2" max="2" width="16.57"/>
    <col customWidth="1" min="3" max="3" width="35.71"/>
    <col customWidth="1" min="4" max="4" width="20.71"/>
    <col customWidth="1" min="5" max="5" width="19.14"/>
    <col customWidth="1" min="6" max="6" width="26.57"/>
    <col customWidth="1" min="7" max="9" width="18.71"/>
    <col customWidth="1" min="10" max="10" width="23.57"/>
    <col customWidth="1" min="11" max="26" width="18.71"/>
  </cols>
  <sheetData>
    <row r="1" ht="13.5" customHeight="1">
      <c r="A1" s="37"/>
      <c r="B1" s="37"/>
      <c r="C1" s="37"/>
      <c r="D1" s="37"/>
      <c r="E1" s="37"/>
      <c r="F1" s="38"/>
      <c r="G1" s="39" t="s">
        <v>116</v>
      </c>
      <c r="J1" s="38"/>
      <c r="K1" s="38"/>
      <c r="L1" s="38"/>
      <c r="M1" s="39"/>
      <c r="N1" s="39"/>
      <c r="O1" s="39"/>
      <c r="P1" s="39"/>
      <c r="Q1" s="37"/>
      <c r="R1" s="37"/>
      <c r="S1" s="37"/>
      <c r="T1" s="37"/>
      <c r="U1" s="37"/>
      <c r="V1" s="37"/>
      <c r="W1" s="37"/>
      <c r="X1" s="37"/>
      <c r="Y1" s="37"/>
      <c r="Z1" s="37"/>
    </row>
    <row r="2" ht="54.75" customHeight="1">
      <c r="A2" s="37"/>
      <c r="B2" s="37"/>
      <c r="C2" s="40"/>
      <c r="D2" s="40"/>
      <c r="E2" s="40"/>
      <c r="F2" s="41" t="s">
        <v>117</v>
      </c>
      <c r="G2" s="42"/>
      <c r="H2" s="42"/>
      <c r="I2" s="42"/>
      <c r="J2" s="43"/>
      <c r="K2" s="40"/>
      <c r="L2" s="40"/>
      <c r="M2" s="112"/>
      <c r="N2" s="39"/>
      <c r="O2" s="39"/>
      <c r="P2" s="39"/>
      <c r="Q2" s="37"/>
      <c r="R2" s="37"/>
      <c r="S2" s="37"/>
      <c r="T2" s="37"/>
      <c r="U2" s="37"/>
      <c r="V2" s="37"/>
      <c r="W2" s="37"/>
      <c r="X2" s="37"/>
      <c r="Y2" s="37"/>
      <c r="Z2" s="37"/>
    </row>
    <row r="3" ht="23.25" customHeight="1">
      <c r="A3" s="44"/>
      <c r="B3" s="44"/>
      <c r="C3" s="44"/>
      <c r="D3" s="44"/>
      <c r="E3" s="37"/>
      <c r="F3" s="37"/>
      <c r="G3" s="45"/>
      <c r="H3" s="45"/>
      <c r="I3" s="45"/>
      <c r="J3" s="45"/>
      <c r="K3" s="37"/>
      <c r="L3" s="37"/>
      <c r="M3" s="37"/>
      <c r="N3" s="37"/>
      <c r="O3" s="37"/>
      <c r="P3" s="37"/>
      <c r="Q3" s="37"/>
      <c r="R3" s="37"/>
      <c r="S3" s="37"/>
      <c r="T3" s="37"/>
      <c r="U3" s="37"/>
      <c r="V3" s="37"/>
      <c r="W3" s="37"/>
      <c r="X3" s="37"/>
      <c r="Y3" s="37"/>
      <c r="Z3" s="37"/>
    </row>
    <row r="4" ht="16.5" customHeight="1">
      <c r="A4" s="44"/>
      <c r="B4" s="44"/>
      <c r="C4" s="44"/>
      <c r="D4" s="44"/>
      <c r="E4" s="37"/>
      <c r="F4" s="46" t="s">
        <v>81</v>
      </c>
      <c r="G4" s="47"/>
      <c r="H4" s="47"/>
      <c r="I4" s="47"/>
      <c r="J4" s="47"/>
      <c r="K4" s="47"/>
      <c r="L4" s="66"/>
      <c r="M4" s="49"/>
      <c r="N4" s="37"/>
      <c r="O4" s="37"/>
      <c r="P4" s="37"/>
      <c r="Q4" s="49"/>
      <c r="R4" s="37"/>
      <c r="S4" s="37"/>
      <c r="T4" s="37"/>
      <c r="U4" s="49"/>
      <c r="V4" s="37"/>
      <c r="W4" s="37"/>
      <c r="X4" s="37"/>
      <c r="Y4" s="37"/>
      <c r="Z4" s="37"/>
    </row>
    <row r="5" ht="21.0" customHeight="1">
      <c r="A5" s="44"/>
      <c r="B5" s="44"/>
      <c r="C5" s="44"/>
      <c r="D5" s="44"/>
      <c r="E5" s="37"/>
      <c r="F5" s="50"/>
      <c r="L5" s="113"/>
      <c r="M5" s="53"/>
      <c r="N5" s="37"/>
      <c r="O5" s="52"/>
      <c r="P5" s="53"/>
      <c r="Q5" s="53"/>
      <c r="R5" s="54"/>
      <c r="S5" s="52"/>
      <c r="T5" s="53"/>
      <c r="U5" s="53"/>
      <c r="V5" s="54"/>
      <c r="W5" s="37"/>
      <c r="X5" s="37"/>
      <c r="Y5" s="37"/>
      <c r="Z5" s="37"/>
    </row>
    <row r="6" ht="21.0" customHeight="1">
      <c r="A6" s="44"/>
      <c r="B6" s="44"/>
      <c r="C6" s="44"/>
      <c r="D6" s="44"/>
      <c r="E6" s="37"/>
      <c r="F6" s="50"/>
      <c r="L6" s="113"/>
      <c r="M6" s="53"/>
      <c r="N6" s="37"/>
      <c r="O6" s="52"/>
      <c r="P6" s="53"/>
      <c r="Q6" s="53"/>
      <c r="R6" s="54"/>
      <c r="S6" s="52"/>
      <c r="T6" s="53"/>
      <c r="U6" s="53"/>
      <c r="V6" s="54"/>
      <c r="W6" s="37"/>
      <c r="X6" s="37"/>
      <c r="Y6" s="37"/>
      <c r="Z6" s="37"/>
    </row>
    <row r="7" ht="21.0" customHeight="1">
      <c r="A7" s="44"/>
      <c r="B7" s="44"/>
      <c r="C7" s="44"/>
      <c r="D7" s="44"/>
      <c r="E7" s="37"/>
      <c r="F7" s="50"/>
      <c r="L7" s="113"/>
      <c r="M7" s="53"/>
      <c r="N7" s="37"/>
      <c r="O7" s="52"/>
      <c r="P7" s="53"/>
      <c r="Q7" s="53"/>
      <c r="R7" s="54"/>
      <c r="S7" s="52"/>
      <c r="T7" s="53"/>
      <c r="U7" s="53"/>
      <c r="V7" s="54"/>
      <c r="W7" s="37"/>
      <c r="X7" s="37"/>
      <c r="Y7" s="37"/>
      <c r="Z7" s="37"/>
    </row>
    <row r="8" ht="21.0" customHeight="1">
      <c r="A8" s="44"/>
      <c r="B8" s="44"/>
      <c r="C8" s="44"/>
      <c r="D8" s="44"/>
      <c r="E8" s="37"/>
      <c r="F8" s="50"/>
      <c r="L8" s="113"/>
      <c r="M8" s="53"/>
      <c r="N8" s="37"/>
      <c r="O8" s="52"/>
      <c r="P8" s="53"/>
      <c r="Q8" s="53"/>
      <c r="R8" s="54"/>
      <c r="S8" s="52"/>
      <c r="T8" s="53"/>
      <c r="U8" s="53"/>
      <c r="V8" s="54"/>
      <c r="W8" s="37"/>
      <c r="X8" s="37"/>
      <c r="Y8" s="37"/>
      <c r="Z8" s="37"/>
    </row>
    <row r="9" ht="21.0" customHeight="1">
      <c r="A9" s="44"/>
      <c r="B9" s="44"/>
      <c r="C9" s="44"/>
      <c r="D9" s="44"/>
      <c r="E9" s="37"/>
      <c r="F9" s="50"/>
      <c r="L9" s="113"/>
      <c r="M9" s="37"/>
      <c r="N9" s="37"/>
      <c r="O9" s="37"/>
      <c r="P9" s="37"/>
      <c r="Q9" s="37"/>
      <c r="R9" s="37"/>
      <c r="S9" s="37"/>
      <c r="T9" s="37"/>
      <c r="U9" s="37"/>
      <c r="V9" s="37"/>
      <c r="W9" s="37"/>
      <c r="X9" s="37"/>
      <c r="Y9" s="37"/>
      <c r="Z9" s="37"/>
    </row>
    <row r="10" ht="20.25" customHeight="1">
      <c r="A10" s="44"/>
      <c r="B10" s="44"/>
      <c r="C10" s="44"/>
      <c r="D10" s="44"/>
      <c r="E10" s="37"/>
      <c r="F10" s="50"/>
      <c r="L10" s="113"/>
      <c r="M10" s="37"/>
      <c r="N10" s="37"/>
      <c r="O10" s="37"/>
      <c r="P10" s="37"/>
      <c r="Q10" s="37"/>
      <c r="R10" s="37"/>
      <c r="S10" s="37"/>
      <c r="T10" s="37"/>
      <c r="U10" s="37"/>
      <c r="V10" s="37"/>
      <c r="W10" s="37"/>
      <c r="X10" s="37"/>
      <c r="Y10" s="37"/>
      <c r="Z10" s="37"/>
    </row>
    <row r="11" ht="21.0" customHeight="1">
      <c r="A11" s="44"/>
      <c r="B11" s="44"/>
      <c r="C11" s="44"/>
      <c r="D11" s="44"/>
      <c r="E11" s="37"/>
      <c r="F11" s="50"/>
      <c r="L11" s="113"/>
      <c r="M11" s="37"/>
      <c r="N11" s="37"/>
      <c r="O11" s="37"/>
      <c r="P11" s="37"/>
      <c r="Q11" s="37"/>
      <c r="R11" s="37"/>
      <c r="S11" s="37"/>
      <c r="T11" s="37"/>
      <c r="U11" s="37"/>
      <c r="V11" s="37"/>
      <c r="W11" s="37"/>
      <c r="X11" s="37"/>
      <c r="Y11" s="37"/>
      <c r="Z11" s="37"/>
    </row>
    <row r="12" ht="21.0" customHeight="1">
      <c r="A12" s="44"/>
      <c r="B12" s="44"/>
      <c r="C12" s="44"/>
      <c r="D12" s="44"/>
      <c r="E12" s="37"/>
      <c r="F12" s="50"/>
      <c r="L12" s="113"/>
      <c r="M12" s="37"/>
      <c r="N12" s="37"/>
      <c r="O12" s="37"/>
      <c r="P12" s="37"/>
      <c r="Q12" s="37"/>
      <c r="R12" s="37"/>
      <c r="S12" s="37"/>
      <c r="T12" s="37"/>
      <c r="U12" s="37"/>
      <c r="V12" s="37"/>
      <c r="W12" s="37"/>
      <c r="X12" s="37"/>
      <c r="Y12" s="37"/>
      <c r="Z12" s="37"/>
    </row>
    <row r="13" ht="21.0" customHeight="1">
      <c r="A13" s="44"/>
      <c r="B13" s="44"/>
      <c r="C13" s="44"/>
      <c r="D13" s="44"/>
      <c r="E13" s="37"/>
      <c r="F13" s="50"/>
      <c r="L13" s="113"/>
      <c r="M13" s="37"/>
      <c r="N13" s="37"/>
      <c r="O13" s="37"/>
      <c r="P13" s="37"/>
      <c r="Q13" s="37"/>
      <c r="R13" s="37"/>
      <c r="S13" s="37"/>
      <c r="T13" s="37"/>
      <c r="U13" s="37"/>
      <c r="V13" s="37"/>
      <c r="W13" s="37"/>
      <c r="X13" s="37"/>
      <c r="Y13" s="37"/>
      <c r="Z13" s="37"/>
    </row>
    <row r="14" ht="21.0" customHeight="1">
      <c r="A14" s="37"/>
      <c r="B14" s="45"/>
      <c r="C14" s="52"/>
      <c r="D14" s="49"/>
      <c r="E14" s="37"/>
      <c r="F14" s="50"/>
      <c r="L14" s="113"/>
      <c r="M14" s="37"/>
      <c r="N14" s="37"/>
      <c r="O14" s="37"/>
      <c r="P14" s="37"/>
      <c r="Q14" s="37"/>
      <c r="R14" s="37"/>
      <c r="S14" s="37"/>
      <c r="T14" s="37"/>
      <c r="U14" s="37"/>
      <c r="V14" s="37"/>
      <c r="W14" s="37"/>
      <c r="X14" s="37"/>
      <c r="Y14" s="37"/>
      <c r="Z14" s="37"/>
    </row>
    <row r="15" ht="21.0" customHeight="1">
      <c r="A15" s="55"/>
      <c r="B15" s="45"/>
      <c r="C15" s="52"/>
      <c r="D15" s="49"/>
      <c r="E15" s="37"/>
      <c r="F15" s="56"/>
      <c r="G15" s="57"/>
      <c r="H15" s="57"/>
      <c r="I15" s="57"/>
      <c r="J15" s="57"/>
      <c r="K15" s="57"/>
      <c r="L15" s="67"/>
      <c r="M15" s="37"/>
      <c r="N15" s="37"/>
      <c r="O15" s="37"/>
      <c r="P15" s="37"/>
      <c r="Q15" s="37"/>
      <c r="R15" s="37"/>
      <c r="S15" s="37"/>
      <c r="T15" s="37"/>
      <c r="U15" s="37"/>
      <c r="V15" s="37"/>
      <c r="W15" s="37"/>
      <c r="X15" s="37"/>
      <c r="Y15" s="37"/>
      <c r="Z15" s="37"/>
    </row>
    <row r="16" ht="21.0" customHeight="1">
      <c r="A16" s="37"/>
      <c r="B16" s="37"/>
      <c r="C16" s="59"/>
      <c r="D16" s="60"/>
      <c r="E16" s="52"/>
      <c r="F16" s="49"/>
      <c r="G16" s="44"/>
      <c r="H16" s="44"/>
      <c r="I16" s="44"/>
      <c r="J16" s="44"/>
      <c r="K16" s="44"/>
      <c r="L16" s="37"/>
      <c r="M16" s="37"/>
      <c r="N16" s="37"/>
      <c r="O16" s="37"/>
      <c r="P16" s="37"/>
      <c r="Q16" s="37"/>
      <c r="R16" s="37"/>
      <c r="S16" s="37"/>
      <c r="T16" s="37"/>
      <c r="U16" s="37"/>
      <c r="V16" s="37"/>
      <c r="W16" s="37"/>
      <c r="X16" s="37"/>
      <c r="Y16" s="37"/>
      <c r="Z16" s="37"/>
    </row>
    <row r="17" ht="21.0" customHeight="1">
      <c r="A17" s="37"/>
      <c r="B17" s="37"/>
      <c r="C17" s="59"/>
      <c r="D17" s="60"/>
      <c r="E17" s="52"/>
      <c r="F17" s="49"/>
      <c r="G17" s="44"/>
      <c r="H17" s="44"/>
      <c r="I17" s="44"/>
      <c r="J17" s="44"/>
      <c r="K17" s="44"/>
      <c r="L17" s="37"/>
      <c r="M17" s="37"/>
      <c r="N17" s="37"/>
      <c r="O17" s="37"/>
      <c r="P17" s="37"/>
      <c r="Q17" s="37"/>
      <c r="R17" s="37"/>
      <c r="S17" s="37"/>
      <c r="T17" s="37"/>
      <c r="U17" s="37"/>
      <c r="V17" s="37"/>
      <c r="W17" s="37"/>
      <c r="X17" s="37"/>
      <c r="Y17" s="37"/>
      <c r="Z17" s="37"/>
    </row>
    <row r="18" ht="36.0" customHeight="1">
      <c r="A18" s="114" t="s">
        <v>118</v>
      </c>
      <c r="B18" s="42"/>
      <c r="C18" s="42"/>
      <c r="D18" s="43"/>
      <c r="E18" s="62">
        <v>45.0</v>
      </c>
      <c r="F18" s="49"/>
      <c r="G18" s="44"/>
      <c r="H18" s="44"/>
      <c r="I18" s="44"/>
      <c r="J18" s="44"/>
      <c r="K18" s="44"/>
      <c r="L18" s="37"/>
      <c r="M18" s="37"/>
      <c r="N18" s="37"/>
      <c r="O18" s="37"/>
      <c r="P18" s="37"/>
      <c r="Q18" s="37"/>
      <c r="R18" s="37"/>
      <c r="S18" s="37"/>
      <c r="T18" s="37"/>
      <c r="U18" s="37"/>
      <c r="V18" s="37"/>
      <c r="W18" s="37"/>
      <c r="X18" s="37"/>
      <c r="Y18" s="37"/>
      <c r="Z18" s="37"/>
    </row>
    <row r="19" ht="44.25" customHeight="1">
      <c r="A19" s="37"/>
      <c r="B19" s="37"/>
      <c r="C19" s="37"/>
      <c r="D19" s="63" t="s">
        <v>83</v>
      </c>
      <c r="E19" s="64">
        <f>RADIANS(E18)</f>
        <v>0.7853981634</v>
      </c>
      <c r="F19" s="49"/>
      <c r="G19" s="44"/>
      <c r="H19" s="44"/>
      <c r="I19" s="44"/>
      <c r="J19" s="44"/>
      <c r="K19" s="44"/>
      <c r="L19" s="37"/>
      <c r="M19" s="37"/>
      <c r="N19" s="37"/>
      <c r="O19" s="37"/>
      <c r="P19" s="37"/>
      <c r="Q19" s="37"/>
      <c r="R19" s="37"/>
      <c r="S19" s="37"/>
      <c r="T19" s="37"/>
      <c r="U19" s="37"/>
      <c r="V19" s="37"/>
      <c r="W19" s="37"/>
      <c r="X19" s="37"/>
      <c r="Y19" s="37"/>
      <c r="Z19" s="37"/>
    </row>
    <row r="20" ht="21.0" customHeight="1">
      <c r="A20" s="37"/>
      <c r="B20" s="37"/>
      <c r="C20" s="59"/>
      <c r="D20" s="60"/>
      <c r="E20" s="52"/>
      <c r="F20" s="49"/>
      <c r="G20" s="44"/>
      <c r="H20" s="44"/>
      <c r="I20" s="44"/>
      <c r="J20" s="44"/>
      <c r="K20" s="44"/>
      <c r="L20" s="37"/>
      <c r="M20" s="37"/>
      <c r="N20" s="37"/>
      <c r="O20" s="37"/>
      <c r="P20" s="37"/>
      <c r="Q20" s="37"/>
      <c r="R20" s="37"/>
      <c r="S20" s="37"/>
      <c r="T20" s="37"/>
      <c r="U20" s="37"/>
      <c r="V20" s="37"/>
      <c r="W20" s="37"/>
      <c r="X20" s="37"/>
      <c r="Y20" s="37"/>
      <c r="Z20" s="37"/>
    </row>
    <row r="21" ht="21.0" customHeight="1">
      <c r="A21" s="37"/>
      <c r="B21" s="37"/>
      <c r="C21" s="65" t="s">
        <v>84</v>
      </c>
      <c r="D21" s="47"/>
      <c r="E21" s="47"/>
      <c r="F21" s="47"/>
      <c r="G21" s="47"/>
      <c r="H21" s="47"/>
      <c r="I21" s="47"/>
      <c r="J21" s="47"/>
      <c r="K21" s="66"/>
      <c r="L21" s="37"/>
      <c r="M21" s="37"/>
      <c r="N21" s="37"/>
      <c r="O21" s="37"/>
      <c r="P21" s="37"/>
      <c r="Q21" s="37"/>
      <c r="R21" s="37"/>
      <c r="S21" s="37"/>
      <c r="T21" s="37"/>
      <c r="U21" s="37"/>
      <c r="V21" s="37"/>
      <c r="W21" s="37"/>
      <c r="X21" s="37"/>
      <c r="Y21" s="37"/>
      <c r="Z21" s="37"/>
    </row>
    <row r="22" ht="21.0" customHeight="1">
      <c r="A22" s="37"/>
      <c r="B22" s="37"/>
      <c r="C22" s="56"/>
      <c r="D22" s="57"/>
      <c r="E22" s="57"/>
      <c r="F22" s="57"/>
      <c r="G22" s="57"/>
      <c r="H22" s="57"/>
      <c r="I22" s="57"/>
      <c r="J22" s="57"/>
      <c r="K22" s="67"/>
      <c r="L22" s="37"/>
      <c r="M22" s="37"/>
      <c r="N22" s="37"/>
      <c r="O22" s="37"/>
      <c r="P22" s="37"/>
      <c r="Q22" s="37"/>
      <c r="R22" s="37"/>
      <c r="S22" s="37"/>
      <c r="T22" s="37"/>
      <c r="U22" s="37"/>
      <c r="V22" s="37"/>
      <c r="W22" s="37"/>
      <c r="X22" s="37"/>
      <c r="Y22" s="37"/>
      <c r="Z22" s="37"/>
    </row>
    <row r="23" ht="21.0" customHeight="1">
      <c r="A23" s="37"/>
      <c r="B23" s="37"/>
      <c r="C23" s="37"/>
      <c r="D23" s="54"/>
      <c r="E23" s="54"/>
      <c r="F23" s="49"/>
      <c r="G23" s="44"/>
      <c r="H23" s="44"/>
      <c r="I23" s="44"/>
      <c r="J23" s="44"/>
      <c r="K23" s="44"/>
      <c r="L23" s="37"/>
      <c r="M23" s="37"/>
      <c r="N23" s="37"/>
      <c r="O23" s="37"/>
      <c r="P23" s="37"/>
      <c r="Q23" s="37"/>
      <c r="R23" s="37"/>
      <c r="S23" s="37"/>
      <c r="T23" s="37"/>
      <c r="U23" s="37"/>
      <c r="V23" s="37"/>
      <c r="W23" s="37"/>
      <c r="X23" s="37"/>
      <c r="Y23" s="37"/>
      <c r="Z23" s="37"/>
    </row>
    <row r="24" ht="21.0" customHeight="1">
      <c r="A24" s="37"/>
      <c r="B24" s="37"/>
      <c r="C24" s="37"/>
      <c r="D24" s="54"/>
      <c r="E24" s="54"/>
      <c r="F24" s="49"/>
      <c r="G24" s="44"/>
      <c r="H24" s="44"/>
      <c r="I24" s="44"/>
      <c r="J24" s="44"/>
      <c r="K24" s="44"/>
      <c r="L24" s="37"/>
      <c r="M24" s="37"/>
      <c r="N24" s="37"/>
      <c r="O24" s="37"/>
      <c r="P24" s="37"/>
      <c r="Q24" s="37"/>
      <c r="R24" s="37"/>
      <c r="S24" s="37"/>
      <c r="T24" s="37"/>
      <c r="U24" s="37"/>
      <c r="V24" s="37"/>
      <c r="W24" s="37"/>
      <c r="X24" s="37"/>
      <c r="Y24" s="37"/>
      <c r="Z24" s="37"/>
    </row>
    <row r="25" ht="21.0" customHeight="1">
      <c r="A25" s="37"/>
      <c r="B25" s="37"/>
      <c r="C25" s="68" t="s">
        <v>85</v>
      </c>
      <c r="D25" s="57"/>
      <c r="E25" s="44"/>
      <c r="F25" s="68" t="s">
        <v>86</v>
      </c>
      <c r="G25" s="57"/>
      <c r="H25" s="44"/>
      <c r="I25" s="110" t="s">
        <v>87</v>
      </c>
      <c r="J25" s="111"/>
      <c r="K25" s="44"/>
      <c r="L25" s="68" t="s">
        <v>88</v>
      </c>
      <c r="M25" s="57"/>
      <c r="O25" s="69" t="s">
        <v>89</v>
      </c>
      <c r="P25" s="70"/>
      <c r="R25" s="37"/>
      <c r="S25" s="37"/>
      <c r="T25" s="37"/>
      <c r="U25" s="37"/>
      <c r="V25" s="37"/>
      <c r="W25" s="37"/>
      <c r="X25" s="37"/>
    </row>
    <row r="26" ht="21.0" customHeight="1">
      <c r="A26" s="71"/>
      <c r="B26" s="72" t="s">
        <v>90</v>
      </c>
      <c r="C26" s="73" t="s">
        <v>91</v>
      </c>
      <c r="D26" s="74">
        <v>0.0</v>
      </c>
      <c r="E26" s="71"/>
      <c r="F26" s="75" t="s">
        <v>91</v>
      </c>
      <c r="G26" s="74"/>
      <c r="H26" s="71"/>
      <c r="I26" s="76" t="s">
        <v>92</v>
      </c>
      <c r="J26" s="77"/>
      <c r="K26" s="71"/>
      <c r="L26" s="75" t="s">
        <v>91</v>
      </c>
      <c r="M26" s="74"/>
      <c r="O26" s="76" t="s">
        <v>93</v>
      </c>
      <c r="P26" s="77">
        <v>0.0</v>
      </c>
      <c r="R26" s="71"/>
      <c r="S26" s="71"/>
      <c r="T26" s="71"/>
      <c r="U26" s="71"/>
      <c r="V26" s="71"/>
      <c r="W26" s="71"/>
      <c r="X26" s="71"/>
    </row>
    <row r="27" ht="21.0" customHeight="1">
      <c r="A27" s="37"/>
      <c r="B27" s="78"/>
      <c r="C27" s="79"/>
      <c r="D27" s="80" t="s">
        <v>94</v>
      </c>
      <c r="E27" s="37"/>
      <c r="F27" s="79"/>
      <c r="G27" s="80" t="s">
        <v>94</v>
      </c>
      <c r="H27" s="44"/>
      <c r="I27" s="81"/>
      <c r="J27" s="82" t="s">
        <v>94</v>
      </c>
      <c r="K27" s="44"/>
      <c r="L27" s="79"/>
      <c r="M27" s="80" t="s">
        <v>94</v>
      </c>
      <c r="O27" s="81"/>
      <c r="P27" s="82" t="s">
        <v>92</v>
      </c>
      <c r="R27" s="37"/>
      <c r="S27" s="37"/>
      <c r="T27" s="37"/>
      <c r="U27" s="37"/>
      <c r="V27" s="37"/>
      <c r="W27" s="37"/>
      <c r="X27" s="37"/>
    </row>
    <row r="28" ht="21.0" customHeight="1">
      <c r="A28" s="83" t="s">
        <v>95</v>
      </c>
      <c r="B28" s="84"/>
      <c r="C28" s="37"/>
      <c r="D28" s="85">
        <v>0.0</v>
      </c>
      <c r="E28" s="37"/>
      <c r="F28" s="37"/>
      <c r="G28" s="85"/>
      <c r="H28" s="44"/>
      <c r="I28" s="86"/>
      <c r="J28" s="87"/>
      <c r="K28" s="37"/>
      <c r="L28" s="37"/>
      <c r="M28" s="85"/>
      <c r="O28" s="86"/>
      <c r="P28" s="87"/>
      <c r="R28" s="37"/>
      <c r="S28" s="37"/>
      <c r="T28" s="37"/>
      <c r="U28" s="37"/>
      <c r="V28" s="37"/>
      <c r="W28" s="37"/>
      <c r="X28" s="37"/>
    </row>
    <row r="29" ht="21.0" customHeight="1">
      <c r="A29" s="83" t="s">
        <v>96</v>
      </c>
      <c r="B29" s="88"/>
      <c r="C29" s="37"/>
      <c r="D29" s="85">
        <v>0.0</v>
      </c>
      <c r="E29" s="37"/>
      <c r="F29" s="37"/>
      <c r="G29" s="85"/>
      <c r="H29" s="44"/>
      <c r="I29" s="86"/>
      <c r="J29" s="87"/>
      <c r="K29" s="37"/>
      <c r="L29" s="37"/>
      <c r="M29" s="85"/>
      <c r="O29" s="86"/>
      <c r="P29" s="87"/>
      <c r="R29" s="37"/>
      <c r="S29" s="37"/>
      <c r="T29" s="37"/>
      <c r="U29" s="37"/>
      <c r="V29" s="37"/>
      <c r="W29" s="37"/>
      <c r="X29" s="37"/>
    </row>
    <row r="30" ht="21.0" customHeight="1">
      <c r="A30" s="89" t="s">
        <v>97</v>
      </c>
      <c r="B30" s="90"/>
      <c r="C30" s="91" t="s">
        <v>98</v>
      </c>
      <c r="D30" s="92"/>
      <c r="E30" s="37"/>
      <c r="F30" s="93" t="s">
        <v>99</v>
      </c>
      <c r="G30" s="92"/>
      <c r="H30" s="37"/>
      <c r="I30" s="94" t="s">
        <v>99</v>
      </c>
      <c r="J30" s="95"/>
      <c r="K30" s="37"/>
      <c r="L30" s="93" t="s">
        <v>99</v>
      </c>
      <c r="M30" s="92"/>
      <c r="O30" s="94" t="s">
        <v>99</v>
      </c>
      <c r="P30" s="95"/>
      <c r="R30" s="37"/>
      <c r="S30" s="37"/>
      <c r="T30" s="37"/>
      <c r="U30" s="37"/>
      <c r="V30" s="37"/>
      <c r="W30" s="37"/>
      <c r="X30" s="37"/>
    </row>
    <row r="31" ht="21.0" customHeight="1">
      <c r="A31" s="96" t="s">
        <v>100</v>
      </c>
      <c r="B31" s="97"/>
      <c r="C31" s="98" t="s">
        <v>101</v>
      </c>
      <c r="D31" s="99"/>
      <c r="E31" s="37"/>
      <c r="F31" s="100" t="s">
        <v>101</v>
      </c>
      <c r="G31" s="99"/>
      <c r="H31" s="37"/>
      <c r="I31" s="101" t="s">
        <v>101</v>
      </c>
      <c r="J31" s="102"/>
      <c r="K31" s="37"/>
      <c r="L31" s="100" t="s">
        <v>101</v>
      </c>
      <c r="M31" s="99"/>
      <c r="O31" s="101" t="s">
        <v>101</v>
      </c>
      <c r="P31" s="102"/>
      <c r="R31" s="37"/>
      <c r="S31" s="37"/>
      <c r="T31" s="37"/>
      <c r="U31" s="37"/>
      <c r="V31" s="37"/>
      <c r="W31" s="37"/>
      <c r="X31" s="37"/>
    </row>
    <row r="32" ht="21.0" customHeight="1">
      <c r="A32" s="37"/>
      <c r="B32" s="37"/>
      <c r="C32" s="37"/>
      <c r="D32" s="37"/>
      <c r="E32" s="37"/>
      <c r="F32" s="37"/>
      <c r="G32" s="103"/>
      <c r="H32" s="103"/>
      <c r="I32" s="103"/>
      <c r="J32" s="103"/>
      <c r="K32" s="37"/>
      <c r="L32" s="37"/>
      <c r="M32" s="37"/>
      <c r="N32" s="37"/>
      <c r="O32" s="37"/>
      <c r="P32" s="37"/>
      <c r="Q32" s="37"/>
      <c r="R32" s="37"/>
      <c r="S32" s="37"/>
      <c r="T32" s="37"/>
      <c r="U32" s="37"/>
      <c r="V32" s="37"/>
      <c r="W32" s="37"/>
      <c r="X32" s="37"/>
      <c r="Y32" s="37"/>
      <c r="Z32" s="37"/>
    </row>
    <row r="33" ht="21.0" customHeight="1">
      <c r="A33" s="37"/>
      <c r="B33" s="37"/>
      <c r="C33" s="37"/>
      <c r="D33" s="37"/>
      <c r="E33" s="37"/>
      <c r="F33" s="37"/>
      <c r="G33" s="37"/>
      <c r="H33" s="37" t="s">
        <v>102</v>
      </c>
      <c r="M33" s="37"/>
      <c r="N33" s="37"/>
      <c r="O33" s="37"/>
      <c r="P33" s="37"/>
      <c r="Q33" s="37"/>
      <c r="R33" s="37"/>
      <c r="S33" s="37"/>
      <c r="T33" s="37"/>
      <c r="U33" s="37"/>
      <c r="V33" s="37"/>
      <c r="W33" s="37"/>
      <c r="X33" s="37"/>
      <c r="Y33" s="37"/>
      <c r="Z33" s="37"/>
    </row>
    <row r="34" ht="21.0" customHeight="1">
      <c r="A34" s="37"/>
      <c r="B34" s="37"/>
      <c r="C34" s="37"/>
      <c r="D34" s="37"/>
      <c r="E34" s="37"/>
      <c r="F34" s="37"/>
      <c r="G34" s="37"/>
      <c r="M34" s="37"/>
      <c r="N34" s="37"/>
      <c r="O34" s="37"/>
      <c r="P34" s="37"/>
      <c r="Q34" s="37"/>
      <c r="R34" s="37"/>
      <c r="S34" s="37"/>
      <c r="T34" s="37"/>
      <c r="U34" s="37"/>
      <c r="V34" s="37"/>
      <c r="W34" s="37"/>
      <c r="X34" s="37"/>
      <c r="Y34" s="37"/>
      <c r="Z34" s="37"/>
    </row>
    <row r="35" ht="21.0" customHeight="1">
      <c r="A35" s="37"/>
      <c r="B35" s="37"/>
      <c r="C35" s="37"/>
      <c r="D35" s="37"/>
      <c r="E35" s="37"/>
      <c r="F35" s="37"/>
      <c r="G35" s="37"/>
      <c r="M35" s="37"/>
      <c r="N35" s="37"/>
      <c r="O35" s="37"/>
      <c r="P35" s="37"/>
      <c r="Q35" s="37"/>
      <c r="R35" s="37"/>
      <c r="S35" s="37"/>
      <c r="T35" s="37"/>
      <c r="U35" s="37"/>
      <c r="V35" s="37"/>
      <c r="W35" s="37"/>
      <c r="X35" s="37"/>
      <c r="Y35" s="37"/>
      <c r="Z35" s="37"/>
    </row>
    <row r="36" ht="21.0" customHeight="1">
      <c r="A36" s="37"/>
      <c r="B36" s="37"/>
      <c r="C36" s="37"/>
      <c r="D36" s="37"/>
      <c r="E36" s="37"/>
      <c r="F36" s="37"/>
      <c r="G36" s="37"/>
      <c r="M36" s="37"/>
      <c r="N36" s="37"/>
      <c r="O36" s="37"/>
      <c r="P36" s="37"/>
      <c r="Q36" s="37"/>
      <c r="R36" s="37"/>
      <c r="S36" s="37"/>
      <c r="T36" s="37"/>
      <c r="U36" s="37"/>
      <c r="V36" s="37"/>
      <c r="W36" s="37"/>
      <c r="X36" s="37"/>
      <c r="Y36" s="37"/>
      <c r="Z36" s="37"/>
    </row>
    <row r="37" ht="21.0" customHeight="1">
      <c r="A37" s="37"/>
      <c r="B37" s="37"/>
      <c r="C37" s="37"/>
      <c r="D37" s="37"/>
      <c r="E37" s="37"/>
      <c r="F37" s="37"/>
      <c r="G37" s="37"/>
      <c r="M37" s="37"/>
      <c r="N37" s="37"/>
      <c r="O37" s="37"/>
      <c r="P37" s="37"/>
      <c r="Q37" s="37"/>
      <c r="R37" s="37"/>
      <c r="S37" s="37"/>
      <c r="T37" s="37"/>
      <c r="U37" s="37"/>
      <c r="V37" s="37"/>
      <c r="W37" s="37"/>
      <c r="X37" s="37"/>
      <c r="Y37" s="37"/>
      <c r="Z37" s="37"/>
    </row>
    <row r="38" ht="21.0" customHeight="1">
      <c r="A38" s="37"/>
      <c r="B38" s="104" t="s">
        <v>92</v>
      </c>
      <c r="C38" s="105" t="s">
        <v>94</v>
      </c>
      <c r="D38" s="106" t="s">
        <v>119</v>
      </c>
      <c r="E38" s="107" t="s">
        <v>120</v>
      </c>
      <c r="F38" s="108" t="s">
        <v>105</v>
      </c>
      <c r="G38" s="108" t="s">
        <v>106</v>
      </c>
      <c r="M38" s="37"/>
      <c r="N38" s="37"/>
      <c r="O38" s="37"/>
      <c r="P38" s="37"/>
      <c r="Q38" s="37"/>
      <c r="R38" s="37"/>
      <c r="S38" s="37"/>
      <c r="T38" s="37"/>
      <c r="U38" s="37"/>
      <c r="V38" s="37"/>
      <c r="W38" s="37"/>
      <c r="X38" s="37"/>
      <c r="Y38" s="37"/>
      <c r="Z38" s="37"/>
    </row>
    <row r="39" ht="21.0" customHeight="1">
      <c r="A39" s="109" t="s">
        <v>107</v>
      </c>
      <c r="B39" s="84"/>
      <c r="C39" s="84"/>
      <c r="D39" s="84"/>
      <c r="E39" s="84"/>
      <c r="F39" s="78">
        <v>0.0</v>
      </c>
      <c r="G39" s="78">
        <v>0.0</v>
      </c>
      <c r="M39" s="37"/>
      <c r="N39" s="37"/>
      <c r="O39" s="37"/>
      <c r="P39" s="37"/>
      <c r="Q39" s="37"/>
      <c r="R39" s="37"/>
      <c r="S39" s="37"/>
      <c r="T39" s="37"/>
      <c r="U39" s="37"/>
      <c r="V39" s="37"/>
      <c r="W39" s="37"/>
      <c r="X39" s="37"/>
      <c r="Y39" s="37"/>
      <c r="Z39" s="37"/>
    </row>
    <row r="40" ht="21.0" customHeight="1">
      <c r="A40" s="37" t="s">
        <v>108</v>
      </c>
      <c r="B40" s="85"/>
      <c r="C40" s="85"/>
      <c r="D40" s="85"/>
      <c r="E40" s="85"/>
      <c r="F40" s="85" t="str">
        <f>B40</f>
        <v/>
      </c>
      <c r="G40" s="85" t="str">
        <f>ROUND(F40*TAN($E$19)-(0.5*9.8*(F40/($B$30*COS($E$19)))^2),3)</f>
        <v>#DIV/0!</v>
      </c>
      <c r="M40" s="37"/>
      <c r="N40" s="37"/>
      <c r="O40" s="37"/>
      <c r="P40" s="37"/>
      <c r="Q40" s="37"/>
      <c r="R40" s="37"/>
      <c r="S40" s="37"/>
      <c r="T40" s="37"/>
      <c r="U40" s="37"/>
      <c r="V40" s="37"/>
      <c r="W40" s="37"/>
      <c r="X40" s="37"/>
      <c r="Y40" s="37"/>
      <c r="Z40" s="37"/>
    </row>
    <row r="41" ht="21.0" customHeight="1">
      <c r="A41" s="86" t="s">
        <v>109</v>
      </c>
      <c r="B41" s="87"/>
      <c r="C41" s="87"/>
      <c r="D41" s="87"/>
      <c r="E41" s="87"/>
      <c r="F41" s="87">
        <f>ROUND((B32^2)*SIN(2*E21)/(2*9.8),3)</f>
        <v>0</v>
      </c>
      <c r="G41" s="87">
        <f>ROUND(((B32*SIN(E21))^2)/(2*9.8),3)</f>
        <v>0</v>
      </c>
      <c r="M41" s="37"/>
      <c r="N41" s="37"/>
      <c r="O41" s="37"/>
      <c r="P41" s="37"/>
      <c r="Q41" s="37"/>
      <c r="R41" s="37"/>
      <c r="S41" s="37"/>
      <c r="T41" s="37"/>
      <c r="U41" s="37"/>
      <c r="V41" s="37"/>
      <c r="W41" s="37"/>
      <c r="X41" s="37"/>
      <c r="Y41" s="37"/>
      <c r="Z41" s="37"/>
    </row>
    <row r="42" ht="21.0" customHeight="1">
      <c r="A42" s="37" t="s">
        <v>110</v>
      </c>
      <c r="B42" s="85"/>
      <c r="C42" s="85"/>
      <c r="D42" s="85"/>
      <c r="E42" s="85"/>
      <c r="F42" s="85" t="str">
        <f>B42</f>
        <v/>
      </c>
      <c r="G42" s="85" t="str">
        <f>ROUND(F42*TAN($E$19)-(0.5*9.8*(F42/($B$30*COS($E$19)))^2),3)</f>
        <v>#DIV/0!</v>
      </c>
      <c r="M42" s="37"/>
      <c r="N42" s="37"/>
      <c r="O42" s="37"/>
      <c r="P42" s="37"/>
      <c r="Q42" s="37"/>
      <c r="R42" s="37"/>
      <c r="S42" s="37"/>
      <c r="T42" s="37"/>
      <c r="U42" s="37"/>
      <c r="V42" s="37"/>
      <c r="W42" s="37"/>
      <c r="X42" s="37"/>
      <c r="Y42" s="37"/>
      <c r="Z42" s="37"/>
    </row>
    <row r="43" ht="21.0" customHeight="1">
      <c r="A43" s="86" t="s">
        <v>111</v>
      </c>
      <c r="B43" s="87"/>
      <c r="C43" s="87"/>
      <c r="D43" s="87"/>
      <c r="E43" s="87"/>
      <c r="F43" s="87">
        <f>ROUND((B30^2)*SIN(2*E19)/9.8,3)</f>
        <v>0</v>
      </c>
      <c r="G43" s="87">
        <v>0.0</v>
      </c>
      <c r="M43" s="37"/>
      <c r="N43" s="37"/>
      <c r="O43" s="37"/>
      <c r="P43" s="37"/>
      <c r="Q43" s="37"/>
      <c r="R43" s="37"/>
      <c r="S43" s="37"/>
      <c r="T43" s="37"/>
      <c r="U43" s="37"/>
      <c r="V43" s="37"/>
      <c r="W43" s="37"/>
      <c r="X43" s="37"/>
      <c r="Y43" s="37"/>
      <c r="Z43" s="37"/>
    </row>
    <row r="44" ht="21.0" customHeight="1">
      <c r="A44" s="37"/>
      <c r="B44" s="37"/>
      <c r="C44" s="37"/>
      <c r="D44" s="37"/>
      <c r="E44" s="37"/>
      <c r="F44" s="37"/>
      <c r="G44" s="37"/>
      <c r="M44" s="37"/>
      <c r="N44" s="37"/>
      <c r="O44" s="37"/>
      <c r="P44" s="37"/>
      <c r="Q44" s="37"/>
      <c r="R44" s="37"/>
      <c r="S44" s="37"/>
      <c r="T44" s="37"/>
      <c r="U44" s="37"/>
      <c r="V44" s="37"/>
      <c r="W44" s="37"/>
      <c r="X44" s="37"/>
      <c r="Y44" s="37"/>
      <c r="Z44" s="37"/>
    </row>
    <row r="45" ht="21.0" customHeight="1">
      <c r="A45" s="37"/>
      <c r="B45" s="37"/>
      <c r="C45" s="37"/>
      <c r="D45" s="37"/>
      <c r="E45" s="37"/>
      <c r="F45" s="37"/>
      <c r="G45" s="37"/>
      <c r="M45" s="37"/>
      <c r="N45" s="37"/>
      <c r="O45" s="37"/>
      <c r="P45" s="37"/>
      <c r="Q45" s="37"/>
      <c r="R45" s="37"/>
      <c r="S45" s="37"/>
      <c r="T45" s="37"/>
      <c r="U45" s="37"/>
      <c r="V45" s="37"/>
      <c r="W45" s="37"/>
      <c r="X45" s="37"/>
      <c r="Y45" s="37"/>
      <c r="Z45" s="37"/>
    </row>
    <row r="46" ht="36.0" customHeight="1">
      <c r="A46" s="114" t="s">
        <v>121</v>
      </c>
      <c r="B46" s="42"/>
      <c r="C46" s="42"/>
      <c r="D46" s="43"/>
      <c r="E46" s="62">
        <v>45.0</v>
      </c>
      <c r="F46" s="49"/>
      <c r="G46" s="44"/>
      <c r="H46" s="44"/>
      <c r="I46" s="44"/>
      <c r="J46" s="44"/>
      <c r="K46" s="44"/>
      <c r="L46" s="37"/>
      <c r="M46" s="37"/>
      <c r="N46" s="37"/>
      <c r="O46" s="37"/>
      <c r="P46" s="37"/>
      <c r="Q46" s="37"/>
      <c r="R46" s="37"/>
      <c r="S46" s="37"/>
      <c r="T46" s="37"/>
      <c r="U46" s="37"/>
      <c r="V46" s="37"/>
      <c r="W46" s="37"/>
      <c r="X46" s="37"/>
      <c r="Y46" s="37"/>
      <c r="Z46" s="37"/>
    </row>
    <row r="47" ht="44.25" customHeight="1">
      <c r="A47" s="37"/>
      <c r="B47" s="37"/>
      <c r="C47" s="37"/>
      <c r="D47" s="63" t="s">
        <v>83</v>
      </c>
      <c r="E47" s="64">
        <f>RADIANS(E46)</f>
        <v>0.7853981634</v>
      </c>
      <c r="F47" s="49"/>
      <c r="G47" s="44"/>
      <c r="H47" s="44"/>
      <c r="I47" s="44"/>
      <c r="J47" s="44"/>
      <c r="K47" s="44"/>
      <c r="L47" s="37"/>
      <c r="M47" s="37"/>
      <c r="N47" s="37"/>
      <c r="O47" s="37"/>
      <c r="P47" s="37"/>
      <c r="Q47" s="37"/>
      <c r="R47" s="37"/>
      <c r="S47" s="37"/>
      <c r="T47" s="37"/>
      <c r="U47" s="37"/>
      <c r="V47" s="37"/>
      <c r="W47" s="37"/>
      <c r="X47" s="37"/>
      <c r="Y47" s="37"/>
      <c r="Z47" s="37"/>
    </row>
    <row r="48" ht="21.0" customHeight="1">
      <c r="A48" s="37"/>
      <c r="B48" s="37"/>
      <c r="C48" s="59"/>
      <c r="D48" s="60"/>
      <c r="E48" s="52"/>
      <c r="F48" s="49"/>
      <c r="G48" s="44"/>
      <c r="H48" s="44"/>
      <c r="I48" s="44"/>
      <c r="J48" s="44"/>
      <c r="K48" s="44"/>
      <c r="L48" s="37"/>
      <c r="M48" s="37"/>
      <c r="N48" s="37"/>
      <c r="O48" s="37"/>
      <c r="P48" s="37"/>
      <c r="Q48" s="37"/>
      <c r="R48" s="37"/>
      <c r="S48" s="37"/>
      <c r="T48" s="37"/>
      <c r="U48" s="37"/>
      <c r="V48" s="37"/>
      <c r="W48" s="37"/>
      <c r="X48" s="37"/>
      <c r="Y48" s="37"/>
      <c r="Z48" s="37"/>
    </row>
    <row r="49" ht="21.0" customHeight="1">
      <c r="A49" s="37"/>
      <c r="B49" s="37"/>
      <c r="C49" s="65" t="s">
        <v>84</v>
      </c>
      <c r="D49" s="47"/>
      <c r="E49" s="47"/>
      <c r="F49" s="47"/>
      <c r="G49" s="47"/>
      <c r="H49" s="47"/>
      <c r="I49" s="47"/>
      <c r="J49" s="47"/>
      <c r="K49" s="66"/>
      <c r="L49" s="37"/>
      <c r="M49" s="37"/>
      <c r="N49" s="37"/>
      <c r="O49" s="37"/>
      <c r="P49" s="37"/>
      <c r="Q49" s="37"/>
      <c r="R49" s="37"/>
      <c r="S49" s="37"/>
      <c r="T49" s="37"/>
      <c r="U49" s="37"/>
      <c r="V49" s="37"/>
      <c r="W49" s="37"/>
      <c r="X49" s="37"/>
      <c r="Y49" s="37"/>
      <c r="Z49" s="37"/>
    </row>
    <row r="50" ht="21.0" customHeight="1">
      <c r="A50" s="37"/>
      <c r="B50" s="37"/>
      <c r="C50" s="56"/>
      <c r="D50" s="57"/>
      <c r="E50" s="57"/>
      <c r="F50" s="57"/>
      <c r="G50" s="57"/>
      <c r="H50" s="57"/>
      <c r="I50" s="57"/>
      <c r="J50" s="57"/>
      <c r="K50" s="67"/>
      <c r="L50" s="37"/>
      <c r="M50" s="37"/>
      <c r="N50" s="37"/>
      <c r="O50" s="37"/>
      <c r="P50" s="37"/>
      <c r="Q50" s="37"/>
      <c r="R50" s="37"/>
      <c r="S50" s="37"/>
      <c r="T50" s="37"/>
      <c r="U50" s="37"/>
      <c r="V50" s="37"/>
      <c r="W50" s="37"/>
      <c r="X50" s="37"/>
      <c r="Y50" s="37"/>
      <c r="Z50" s="37"/>
    </row>
    <row r="51" ht="21.0" customHeight="1">
      <c r="A51" s="37"/>
      <c r="B51" s="37"/>
      <c r="C51" s="37"/>
      <c r="D51" s="54"/>
      <c r="E51" s="54"/>
      <c r="F51" s="49"/>
      <c r="G51" s="44"/>
      <c r="H51" s="44"/>
      <c r="I51" s="44"/>
      <c r="J51" s="44"/>
      <c r="K51" s="44"/>
      <c r="L51" s="37"/>
      <c r="M51" s="37"/>
      <c r="N51" s="37"/>
      <c r="O51" s="37"/>
      <c r="P51" s="37"/>
      <c r="Q51" s="37"/>
      <c r="R51" s="37"/>
      <c r="S51" s="37"/>
      <c r="T51" s="37"/>
      <c r="U51" s="37"/>
      <c r="V51" s="37"/>
      <c r="W51" s="37"/>
      <c r="X51" s="37"/>
      <c r="Y51" s="37"/>
      <c r="Z51" s="37"/>
    </row>
    <row r="52" ht="21.0" customHeight="1">
      <c r="A52" s="37"/>
      <c r="B52" s="37"/>
      <c r="C52" s="37"/>
      <c r="D52" s="54"/>
      <c r="E52" s="54"/>
      <c r="F52" s="49"/>
      <c r="G52" s="44"/>
      <c r="H52" s="44"/>
      <c r="I52" s="44"/>
      <c r="J52" s="44"/>
      <c r="K52" s="44"/>
      <c r="L52" s="37"/>
      <c r="M52" s="37"/>
      <c r="N52" s="37"/>
      <c r="O52" s="37"/>
      <c r="P52" s="37"/>
      <c r="Q52" s="37"/>
      <c r="R52" s="37"/>
      <c r="S52" s="37"/>
      <c r="T52" s="37"/>
      <c r="U52" s="37"/>
      <c r="V52" s="37"/>
      <c r="W52" s="37"/>
      <c r="X52" s="37"/>
      <c r="Y52" s="37"/>
      <c r="Z52" s="37"/>
    </row>
    <row r="53" ht="21.0" customHeight="1">
      <c r="A53" s="37"/>
      <c r="B53" s="37"/>
      <c r="C53" s="68" t="s">
        <v>85</v>
      </c>
      <c r="D53" s="57"/>
      <c r="E53" s="44"/>
      <c r="F53" s="68" t="s">
        <v>86</v>
      </c>
      <c r="G53" s="57"/>
      <c r="H53" s="44"/>
      <c r="I53" s="69" t="s">
        <v>87</v>
      </c>
      <c r="J53" s="70"/>
      <c r="K53" s="44"/>
      <c r="L53" s="68" t="s">
        <v>88</v>
      </c>
      <c r="M53" s="57"/>
      <c r="O53" s="69" t="s">
        <v>89</v>
      </c>
      <c r="P53" s="70"/>
      <c r="R53" s="37"/>
      <c r="S53" s="37"/>
      <c r="T53" s="37"/>
      <c r="U53" s="37"/>
      <c r="V53" s="37"/>
      <c r="W53" s="37"/>
      <c r="X53" s="37"/>
    </row>
    <row r="54" ht="21.0" customHeight="1">
      <c r="A54" s="71"/>
      <c r="B54" s="72" t="s">
        <v>90</v>
      </c>
      <c r="C54" s="73" t="s">
        <v>91</v>
      </c>
      <c r="D54" s="74">
        <v>0.0</v>
      </c>
      <c r="E54" s="71"/>
      <c r="F54" s="75" t="s">
        <v>91</v>
      </c>
      <c r="G54" s="74"/>
      <c r="H54" s="71"/>
      <c r="I54" s="76" t="s">
        <v>92</v>
      </c>
      <c r="J54" s="77"/>
      <c r="K54" s="71"/>
      <c r="L54" s="75" t="s">
        <v>91</v>
      </c>
      <c r="M54" s="74"/>
      <c r="O54" s="76" t="s">
        <v>93</v>
      </c>
      <c r="P54" s="77">
        <v>0.0</v>
      </c>
      <c r="R54" s="71"/>
      <c r="S54" s="71"/>
      <c r="T54" s="71"/>
      <c r="U54" s="71"/>
      <c r="V54" s="71"/>
      <c r="W54" s="71"/>
      <c r="X54" s="71"/>
    </row>
    <row r="55" ht="21.0" customHeight="1">
      <c r="A55" s="37"/>
      <c r="B55" s="78"/>
      <c r="C55" s="79"/>
      <c r="D55" s="80" t="s">
        <v>94</v>
      </c>
      <c r="E55" s="37"/>
      <c r="F55" s="79"/>
      <c r="G55" s="80" t="s">
        <v>94</v>
      </c>
      <c r="H55" s="44"/>
      <c r="I55" s="81"/>
      <c r="J55" s="82" t="s">
        <v>94</v>
      </c>
      <c r="K55" s="44"/>
      <c r="L55" s="79"/>
      <c r="M55" s="80" t="s">
        <v>94</v>
      </c>
      <c r="O55" s="81"/>
      <c r="P55" s="82" t="s">
        <v>92</v>
      </c>
      <c r="R55" s="37"/>
      <c r="S55" s="37"/>
      <c r="T55" s="37"/>
      <c r="U55" s="37"/>
      <c r="V55" s="37"/>
      <c r="W55" s="37"/>
      <c r="X55" s="37"/>
    </row>
    <row r="56" ht="21.0" customHeight="1">
      <c r="A56" s="83" t="s">
        <v>95</v>
      </c>
      <c r="B56" s="84"/>
      <c r="C56" s="37"/>
      <c r="D56" s="85">
        <v>0.0</v>
      </c>
      <c r="E56" s="37"/>
      <c r="F56" s="37"/>
      <c r="G56" s="85"/>
      <c r="H56" s="44"/>
      <c r="I56" s="86"/>
      <c r="J56" s="87"/>
      <c r="K56" s="37"/>
      <c r="L56" s="37"/>
      <c r="M56" s="85"/>
      <c r="O56" s="86"/>
      <c r="P56" s="87"/>
      <c r="R56" s="37"/>
      <c r="S56" s="37"/>
      <c r="T56" s="37"/>
      <c r="U56" s="37"/>
      <c r="V56" s="37"/>
      <c r="W56" s="37"/>
      <c r="X56" s="37"/>
    </row>
    <row r="57" ht="21.0" customHeight="1">
      <c r="A57" s="83" t="s">
        <v>96</v>
      </c>
      <c r="B57" s="88"/>
      <c r="C57" s="37"/>
      <c r="D57" s="85">
        <v>0.0</v>
      </c>
      <c r="E57" s="37"/>
      <c r="F57" s="37"/>
      <c r="G57" s="85"/>
      <c r="H57" s="44"/>
      <c r="I57" s="86"/>
      <c r="J57" s="87"/>
      <c r="K57" s="37"/>
      <c r="L57" s="37"/>
      <c r="M57" s="85"/>
      <c r="O57" s="86"/>
      <c r="P57" s="87"/>
      <c r="R57" s="37"/>
      <c r="S57" s="37"/>
      <c r="T57" s="37"/>
      <c r="U57" s="37"/>
      <c r="V57" s="37"/>
      <c r="W57" s="37"/>
      <c r="X57" s="37"/>
    </row>
    <row r="58" ht="21.0" customHeight="1">
      <c r="A58" s="89" t="s">
        <v>97</v>
      </c>
      <c r="B58" s="90"/>
      <c r="C58" s="91" t="s">
        <v>98</v>
      </c>
      <c r="D58" s="92"/>
      <c r="E58" s="37"/>
      <c r="F58" s="93" t="s">
        <v>99</v>
      </c>
      <c r="G58" s="92"/>
      <c r="H58" s="37"/>
      <c r="I58" s="94" t="s">
        <v>99</v>
      </c>
      <c r="J58" s="95"/>
      <c r="K58" s="37"/>
      <c r="L58" s="93" t="s">
        <v>99</v>
      </c>
      <c r="M58" s="92"/>
      <c r="O58" s="94" t="s">
        <v>99</v>
      </c>
      <c r="P58" s="95"/>
      <c r="R58" s="37"/>
      <c r="S58" s="37"/>
      <c r="T58" s="37"/>
      <c r="U58" s="37"/>
      <c r="V58" s="37"/>
      <c r="W58" s="37"/>
      <c r="X58" s="37"/>
    </row>
    <row r="59" ht="21.0" customHeight="1">
      <c r="A59" s="96" t="s">
        <v>100</v>
      </c>
      <c r="B59" s="97"/>
      <c r="C59" s="98" t="s">
        <v>101</v>
      </c>
      <c r="D59" s="99"/>
      <c r="E59" s="37"/>
      <c r="F59" s="100" t="s">
        <v>101</v>
      </c>
      <c r="G59" s="99"/>
      <c r="H59" s="37"/>
      <c r="I59" s="101" t="s">
        <v>101</v>
      </c>
      <c r="J59" s="102"/>
      <c r="K59" s="37"/>
      <c r="L59" s="100" t="s">
        <v>101</v>
      </c>
      <c r="M59" s="99"/>
      <c r="O59" s="101" t="s">
        <v>101</v>
      </c>
      <c r="P59" s="102"/>
      <c r="R59" s="37"/>
      <c r="S59" s="37"/>
      <c r="T59" s="37"/>
      <c r="U59" s="37"/>
      <c r="V59" s="37"/>
      <c r="W59" s="37"/>
      <c r="X59" s="37"/>
    </row>
    <row r="60" ht="21.0" customHeight="1">
      <c r="A60" s="37"/>
      <c r="B60" s="37"/>
      <c r="C60" s="37"/>
      <c r="D60" s="37"/>
      <c r="E60" s="37"/>
      <c r="F60" s="37"/>
      <c r="G60" s="103"/>
      <c r="H60" s="103"/>
      <c r="I60" s="103"/>
      <c r="J60" s="103"/>
      <c r="K60" s="37"/>
      <c r="L60" s="37"/>
      <c r="M60" s="37"/>
      <c r="N60" s="37"/>
      <c r="O60" s="37"/>
      <c r="P60" s="37"/>
      <c r="Q60" s="37"/>
      <c r="R60" s="37"/>
      <c r="S60" s="37"/>
      <c r="T60" s="37"/>
      <c r="U60" s="37"/>
      <c r="V60" s="37"/>
      <c r="W60" s="37"/>
      <c r="X60" s="37"/>
      <c r="Y60" s="37"/>
      <c r="Z60" s="37"/>
    </row>
    <row r="61" ht="21.0" customHeight="1">
      <c r="A61" s="37"/>
      <c r="B61" s="37"/>
      <c r="C61" s="37"/>
      <c r="D61" s="37"/>
      <c r="E61" s="37"/>
      <c r="F61" s="37"/>
      <c r="G61" s="37"/>
      <c r="H61" s="37" t="s">
        <v>102</v>
      </c>
      <c r="M61" s="37"/>
      <c r="N61" s="37"/>
      <c r="O61" s="37"/>
      <c r="P61" s="37"/>
      <c r="Q61" s="37"/>
      <c r="R61" s="37"/>
      <c r="S61" s="37"/>
      <c r="T61" s="37"/>
      <c r="U61" s="37"/>
      <c r="V61" s="37"/>
      <c r="W61" s="37"/>
      <c r="X61" s="37"/>
      <c r="Y61" s="37"/>
      <c r="Z61" s="37"/>
    </row>
    <row r="62" ht="21.0" customHeight="1">
      <c r="A62" s="37"/>
      <c r="B62" s="37"/>
      <c r="C62" s="37"/>
      <c r="D62" s="37"/>
      <c r="E62" s="37"/>
      <c r="F62" s="37"/>
      <c r="G62" s="37"/>
      <c r="M62" s="37"/>
      <c r="N62" s="37"/>
      <c r="O62" s="37"/>
      <c r="P62" s="37"/>
      <c r="Q62" s="37"/>
      <c r="R62" s="37"/>
      <c r="S62" s="37"/>
      <c r="T62" s="37"/>
      <c r="U62" s="37"/>
      <c r="V62" s="37"/>
      <c r="W62" s="37"/>
      <c r="X62" s="37"/>
      <c r="Y62" s="37"/>
      <c r="Z62" s="37"/>
    </row>
    <row r="63" ht="21.0" customHeight="1">
      <c r="A63" s="37"/>
      <c r="B63" s="37"/>
      <c r="C63" s="37"/>
      <c r="D63" s="37"/>
      <c r="E63" s="37"/>
      <c r="F63" s="37"/>
      <c r="G63" s="37"/>
      <c r="M63" s="37"/>
      <c r="N63" s="37"/>
      <c r="O63" s="37"/>
      <c r="P63" s="37"/>
      <c r="Q63" s="37"/>
      <c r="R63" s="37"/>
      <c r="S63" s="37"/>
      <c r="T63" s="37"/>
      <c r="U63" s="37"/>
      <c r="V63" s="37"/>
      <c r="W63" s="37"/>
      <c r="X63" s="37"/>
      <c r="Y63" s="37"/>
      <c r="Z63" s="37"/>
    </row>
    <row r="64" ht="21.0" customHeight="1">
      <c r="A64" s="37"/>
      <c r="B64" s="37"/>
      <c r="C64" s="37"/>
      <c r="D64" s="37"/>
      <c r="E64" s="37"/>
      <c r="F64" s="37"/>
      <c r="G64" s="37"/>
      <c r="M64" s="37"/>
      <c r="N64" s="37"/>
      <c r="O64" s="37"/>
      <c r="P64" s="37"/>
      <c r="Q64" s="37"/>
      <c r="R64" s="37"/>
      <c r="S64" s="37"/>
      <c r="T64" s="37"/>
      <c r="U64" s="37"/>
      <c r="V64" s="37"/>
      <c r="W64" s="37"/>
      <c r="X64" s="37"/>
      <c r="Y64" s="37"/>
      <c r="Z64" s="37"/>
    </row>
    <row r="65" ht="21.0" customHeight="1">
      <c r="A65" s="37"/>
      <c r="B65" s="37"/>
      <c r="C65" s="37"/>
      <c r="D65" s="37"/>
      <c r="E65" s="37"/>
      <c r="F65" s="37"/>
      <c r="G65" s="37"/>
      <c r="M65" s="37"/>
      <c r="N65" s="37"/>
      <c r="O65" s="37"/>
      <c r="P65" s="37"/>
      <c r="Q65" s="37"/>
      <c r="R65" s="37"/>
      <c r="S65" s="37"/>
      <c r="T65" s="37"/>
      <c r="U65" s="37"/>
      <c r="V65" s="37"/>
      <c r="W65" s="37"/>
      <c r="X65" s="37"/>
      <c r="Y65" s="37"/>
      <c r="Z65" s="37"/>
    </row>
    <row r="66" ht="21.0" customHeight="1">
      <c r="A66" s="37"/>
      <c r="B66" s="104" t="s">
        <v>92</v>
      </c>
      <c r="C66" s="105" t="s">
        <v>94</v>
      </c>
      <c r="D66" s="106" t="s">
        <v>122</v>
      </c>
      <c r="E66" s="107" t="s">
        <v>123</v>
      </c>
      <c r="F66" s="108" t="s">
        <v>105</v>
      </c>
      <c r="G66" s="108" t="s">
        <v>106</v>
      </c>
      <c r="M66" s="37"/>
      <c r="N66" s="37"/>
      <c r="O66" s="37"/>
      <c r="P66" s="37"/>
      <c r="Q66" s="37"/>
      <c r="R66" s="37"/>
      <c r="S66" s="37"/>
      <c r="T66" s="37"/>
      <c r="U66" s="37"/>
      <c r="V66" s="37"/>
      <c r="W66" s="37"/>
      <c r="X66" s="37"/>
      <c r="Y66" s="37"/>
      <c r="Z66" s="37"/>
    </row>
    <row r="67" ht="21.0" customHeight="1">
      <c r="A67" s="109" t="s">
        <v>107</v>
      </c>
      <c r="B67" s="84"/>
      <c r="C67" s="84"/>
      <c r="D67" s="84"/>
      <c r="E67" s="84"/>
      <c r="F67" s="78">
        <v>0.0</v>
      </c>
      <c r="G67" s="78">
        <v>0.0</v>
      </c>
      <c r="M67" s="37"/>
      <c r="N67" s="37"/>
      <c r="O67" s="37"/>
      <c r="P67" s="37"/>
      <c r="Q67" s="37"/>
      <c r="R67" s="37"/>
      <c r="S67" s="37"/>
      <c r="T67" s="37"/>
      <c r="U67" s="37"/>
      <c r="V67" s="37"/>
      <c r="W67" s="37"/>
      <c r="X67" s="37"/>
      <c r="Y67" s="37"/>
      <c r="Z67" s="37"/>
    </row>
    <row r="68" ht="21.0" customHeight="1">
      <c r="A68" s="37" t="s">
        <v>108</v>
      </c>
      <c r="B68" s="85"/>
      <c r="C68" s="85"/>
      <c r="D68" s="85"/>
      <c r="E68" s="85"/>
      <c r="F68" s="85" t="str">
        <f>B68</f>
        <v/>
      </c>
      <c r="G68" s="85" t="str">
        <f>ROUND(F68*TAN($E$19)-(0.5*9.8*(F68/($B$30*COS($E$19)))^2),3)</f>
        <v>#DIV/0!</v>
      </c>
      <c r="M68" s="37"/>
      <c r="N68" s="37"/>
      <c r="O68" s="37"/>
      <c r="P68" s="37"/>
      <c r="Q68" s="37"/>
      <c r="R68" s="37"/>
      <c r="S68" s="37"/>
      <c r="T68" s="37"/>
      <c r="U68" s="37"/>
      <c r="V68" s="37"/>
      <c r="W68" s="37"/>
      <c r="X68" s="37"/>
      <c r="Y68" s="37"/>
      <c r="Z68" s="37"/>
    </row>
    <row r="69" ht="21.0" customHeight="1">
      <c r="A69" s="86" t="s">
        <v>109</v>
      </c>
      <c r="B69" s="87"/>
      <c r="C69" s="87"/>
      <c r="D69" s="87"/>
      <c r="E69" s="87"/>
      <c r="F69" s="87">
        <f>ROUND((B60^2)*SIN(2*E49)/(2*9.8),3)</f>
        <v>0</v>
      </c>
      <c r="G69" s="87">
        <f>ROUND(((B60*SIN(E49))^2)/(2*9.8),3)</f>
        <v>0</v>
      </c>
      <c r="M69" s="37"/>
      <c r="N69" s="37"/>
      <c r="O69" s="37"/>
      <c r="P69" s="37"/>
      <c r="Q69" s="37"/>
      <c r="R69" s="37"/>
      <c r="S69" s="37"/>
      <c r="T69" s="37"/>
      <c r="U69" s="37"/>
      <c r="V69" s="37"/>
      <c r="W69" s="37"/>
      <c r="X69" s="37"/>
      <c r="Y69" s="37"/>
      <c r="Z69" s="37"/>
    </row>
    <row r="70" ht="21.0" customHeight="1">
      <c r="A70" s="37" t="s">
        <v>110</v>
      </c>
      <c r="B70" s="85"/>
      <c r="C70" s="85"/>
      <c r="D70" s="85"/>
      <c r="E70" s="85"/>
      <c r="F70" s="85" t="str">
        <f>B70</f>
        <v/>
      </c>
      <c r="G70" s="85" t="str">
        <f>ROUND(F70*TAN($E$19)-(0.5*9.8*(F70/($B$30*COS($E$19)))^2),3)</f>
        <v>#DIV/0!</v>
      </c>
      <c r="M70" s="37"/>
      <c r="N70" s="37"/>
      <c r="O70" s="37"/>
      <c r="P70" s="37"/>
      <c r="Q70" s="37"/>
      <c r="R70" s="37"/>
      <c r="S70" s="37"/>
      <c r="T70" s="37"/>
      <c r="U70" s="37"/>
      <c r="V70" s="37"/>
      <c r="W70" s="37"/>
      <c r="X70" s="37"/>
      <c r="Y70" s="37"/>
      <c r="Z70" s="37"/>
    </row>
    <row r="71" ht="21.0" customHeight="1">
      <c r="A71" s="86" t="s">
        <v>111</v>
      </c>
      <c r="B71" s="87"/>
      <c r="C71" s="87"/>
      <c r="D71" s="87"/>
      <c r="E71" s="87"/>
      <c r="F71" s="87">
        <f>ROUND((B58^2)*SIN(2*E47)/9.8,3)</f>
        <v>0</v>
      </c>
      <c r="G71" s="87">
        <v>0.0</v>
      </c>
      <c r="M71" s="37"/>
      <c r="N71" s="37"/>
      <c r="O71" s="37"/>
      <c r="P71" s="37"/>
      <c r="Q71" s="37"/>
      <c r="R71" s="37"/>
      <c r="S71" s="37"/>
      <c r="T71" s="37"/>
      <c r="U71" s="37"/>
      <c r="V71" s="37"/>
      <c r="W71" s="37"/>
      <c r="X71" s="37"/>
      <c r="Y71" s="37"/>
      <c r="Z71" s="37"/>
    </row>
    <row r="72" ht="21.0" customHeight="1">
      <c r="A72" s="37"/>
      <c r="B72" s="37"/>
      <c r="C72" s="37"/>
      <c r="D72" s="37"/>
      <c r="E72" s="37"/>
      <c r="F72" s="37"/>
      <c r="G72" s="37"/>
      <c r="M72" s="37"/>
      <c r="N72" s="37"/>
      <c r="O72" s="37"/>
      <c r="P72" s="37"/>
      <c r="Q72" s="37"/>
      <c r="R72" s="37"/>
      <c r="S72" s="37"/>
      <c r="T72" s="37"/>
      <c r="U72" s="37"/>
      <c r="V72" s="37"/>
      <c r="W72" s="37"/>
      <c r="X72" s="37"/>
      <c r="Y72" s="37"/>
      <c r="Z72" s="37"/>
    </row>
    <row r="73" ht="21.0" customHeight="1">
      <c r="A73" s="37"/>
      <c r="B73" s="37"/>
      <c r="C73" s="37"/>
      <c r="D73" s="37"/>
      <c r="E73" s="37"/>
      <c r="F73" s="37"/>
      <c r="G73" s="37"/>
      <c r="M73" s="37"/>
      <c r="N73" s="37"/>
      <c r="O73" s="37"/>
      <c r="P73" s="37"/>
      <c r="Q73" s="37"/>
      <c r="R73" s="37"/>
      <c r="S73" s="37"/>
      <c r="T73" s="37"/>
      <c r="U73" s="37"/>
      <c r="V73" s="37"/>
      <c r="W73" s="37"/>
      <c r="X73" s="37"/>
      <c r="Y73" s="37"/>
      <c r="Z73" s="37"/>
    </row>
    <row r="74" ht="21.0" customHeight="1">
      <c r="A74" s="37"/>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ht="13.5" customHeight="1">
      <c r="A75" s="37"/>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ht="13.5" customHeight="1">
      <c r="A76" s="37"/>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ht="13.5" customHeight="1">
      <c r="A77" s="37"/>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ht="13.5" customHeight="1">
      <c r="A78" s="37"/>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ht="13.5" customHeight="1">
      <c r="A79" s="37"/>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ht="13.5" customHeight="1">
      <c r="A80" s="37"/>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ht="13.5" customHeight="1">
      <c r="A81" s="37"/>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ht="13.5" customHeight="1">
      <c r="A82" s="37"/>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ht="13.5" customHeight="1">
      <c r="A83" s="37"/>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ht="13.5" customHeight="1">
      <c r="A84" s="37"/>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ht="13.5" customHeight="1">
      <c r="A85" s="37"/>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ht="13.5" customHeight="1">
      <c r="A86" s="37"/>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ht="13.5" customHeight="1">
      <c r="A87" s="37"/>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ht="13.5" customHeight="1">
      <c r="A88" s="37"/>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ht="13.5" customHeight="1">
      <c r="A89" s="37"/>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ht="13.5" customHeight="1">
      <c r="A90" s="37"/>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ht="13.5" customHeight="1">
      <c r="A91" s="37"/>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ht="13.5" customHeight="1">
      <c r="A92" s="37"/>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ht="13.5" customHeight="1">
      <c r="A93" s="37"/>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ht="13.5" customHeight="1">
      <c r="A94" s="37"/>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ht="13.5" customHeight="1">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ht="13.5" customHeight="1">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ht="13.5" customHeight="1">
      <c r="A97" s="37"/>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ht="13.5" customHeight="1">
      <c r="A98" s="37"/>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ht="13.5" customHeight="1">
      <c r="A99" s="37"/>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ht="13.5" customHeight="1">
      <c r="A100" s="37"/>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ht="13.5" customHeight="1">
      <c r="A101" s="37"/>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ht="13.5" customHeight="1">
      <c r="A102" s="37"/>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ht="13.5" customHeight="1">
      <c r="A103" s="37"/>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ht="13.5" customHeight="1">
      <c r="A104" s="37"/>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ht="13.5" customHeight="1">
      <c r="A105" s="37"/>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ht="13.5" customHeight="1">
      <c r="A106" s="37"/>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ht="13.5" customHeight="1">
      <c r="A107" s="37"/>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ht="13.5" customHeight="1">
      <c r="A108" s="37"/>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ht="13.5" customHeight="1">
      <c r="A109" s="37"/>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ht="13.5" customHeight="1">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ht="13.5" customHeight="1">
      <c r="A111" s="37"/>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ht="13.5" customHeight="1">
      <c r="A112" s="37"/>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ht="13.5" customHeight="1">
      <c r="A113" s="37"/>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ht="13.5" customHeight="1">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ht="13.5" customHeight="1">
      <c r="A115" s="37"/>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ht="13.5" customHeight="1">
      <c r="A116" s="37"/>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ht="13.5" customHeight="1">
      <c r="A117" s="37"/>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ht="13.5" customHeight="1">
      <c r="A118" s="37"/>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ht="13.5" customHeight="1">
      <c r="A119" s="37"/>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ht="13.5" customHeight="1">
      <c r="A120" s="37"/>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ht="13.5" customHeight="1">
      <c r="A121" s="37"/>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ht="13.5" customHeight="1">
      <c r="A122" s="37"/>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ht="13.5" customHeight="1">
      <c r="A123" s="37"/>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ht="13.5" customHeight="1">
      <c r="A124" s="37"/>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ht="13.5" customHeight="1">
      <c r="A125" s="37"/>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ht="13.5" customHeight="1">
      <c r="A126" s="37"/>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ht="13.5" customHeight="1">
      <c r="A127" s="37"/>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ht="13.5" customHeight="1">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ht="13.5" customHeight="1">
      <c r="A129" s="37"/>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ht="13.5" customHeight="1">
      <c r="A130" s="37"/>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ht="13.5" customHeight="1">
      <c r="A131" s="37"/>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ht="13.5" customHeight="1">
      <c r="A132" s="37"/>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ht="13.5" customHeight="1">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ht="13.5" customHeight="1">
      <c r="A134" s="37"/>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ht="13.5" customHeight="1">
      <c r="A135" s="37"/>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ht="13.5" customHeight="1">
      <c r="A136" s="37"/>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ht="13.5" customHeight="1">
      <c r="A137" s="37"/>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ht="13.5" customHeight="1">
      <c r="A138" s="37"/>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ht="13.5" customHeight="1">
      <c r="A139" s="37"/>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ht="13.5" customHeight="1">
      <c r="A140" s="37"/>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ht="13.5" customHeight="1">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ht="13.5" customHeight="1">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ht="13.5" customHeight="1">
      <c r="A143" s="37"/>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ht="13.5" customHeight="1">
      <c r="A144" s="37"/>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ht="13.5" customHeight="1">
      <c r="A145" s="37"/>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ht="13.5" customHeight="1">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ht="13.5" customHeight="1">
      <c r="A147" s="37"/>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ht="13.5" customHeight="1">
      <c r="A148" s="37"/>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ht="13.5" customHeight="1">
      <c r="A149" s="37"/>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ht="13.5" customHeight="1">
      <c r="A150" s="37"/>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ht="13.5" customHeight="1">
      <c r="A151" s="37"/>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ht="13.5" customHeight="1">
      <c r="A152" s="37"/>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ht="13.5" customHeight="1">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ht="13.5" customHeight="1">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ht="13.5" customHeight="1">
      <c r="A155" s="37"/>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ht="13.5" customHeight="1">
      <c r="A156" s="37"/>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ht="13.5" customHeight="1">
      <c r="A157" s="37"/>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ht="13.5" customHeight="1">
      <c r="A158" s="37"/>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ht="13.5" customHeight="1">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ht="13.5" customHeight="1">
      <c r="A160" s="37"/>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ht="13.5" customHeight="1">
      <c r="A161" s="37"/>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ht="13.5" customHeight="1">
      <c r="A162" s="37"/>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ht="13.5" customHeight="1">
      <c r="A163" s="37"/>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ht="13.5" customHeight="1">
      <c r="A164" s="37"/>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ht="13.5" customHeight="1">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ht="13.5" customHeight="1">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ht="13.5" customHeight="1">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ht="13.5" customHeight="1">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ht="13.5" customHeight="1">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ht="13.5" customHeight="1">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ht="13.5" customHeight="1">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ht="13.5" customHeight="1">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ht="13.5" customHeight="1">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ht="13.5" customHeight="1">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ht="13.5" customHeight="1">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ht="13.5" customHeight="1">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ht="13.5" customHeight="1">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ht="13.5" customHeight="1">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ht="13.5" customHeight="1">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ht="13.5" customHeight="1">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ht="13.5" customHeight="1">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ht="13.5" customHeight="1">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ht="13.5" customHeight="1">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ht="13.5" customHeight="1">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ht="13.5" customHeight="1">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ht="13.5" customHeight="1">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ht="13.5" customHeight="1">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ht="13.5" customHeight="1">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ht="13.5" customHeight="1">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ht="13.5" customHeight="1">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ht="13.5" customHeight="1">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ht="13.5" customHeight="1">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ht="13.5" customHeight="1">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ht="13.5" customHeight="1">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ht="13.5" customHeight="1">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ht="13.5" customHeight="1">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ht="13.5" customHeight="1">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ht="13.5" customHeight="1">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ht="13.5" customHeight="1">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ht="13.5" customHeight="1">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ht="13.5" customHeight="1">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ht="13.5" customHeight="1">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ht="13.5" customHeight="1">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ht="13.5" customHeight="1">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ht="13.5" customHeight="1">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ht="13.5" customHeight="1">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ht="13.5" customHeight="1">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ht="13.5" customHeight="1">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ht="13.5" customHeight="1">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ht="13.5" customHeight="1">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ht="13.5" customHeight="1">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ht="13.5" customHeight="1">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ht="13.5" customHeight="1">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ht="13.5" customHeight="1">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ht="13.5" customHeight="1">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ht="13.5" customHeight="1">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ht="13.5" customHeight="1">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ht="13.5" customHeight="1">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ht="13.5" customHeight="1">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ht="13.5" customHeight="1">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ht="13.5" customHeight="1">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ht="13.5" customHeight="1">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ht="13.5" customHeight="1">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ht="13.5" customHeight="1">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ht="13.5" customHeight="1">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ht="13.5" customHeight="1">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ht="13.5" customHeight="1">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ht="13.5" customHeight="1">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ht="13.5" customHeight="1">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ht="13.5" customHeight="1">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ht="13.5" customHeight="1">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ht="13.5" customHeight="1">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ht="13.5" customHeight="1">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ht="13.5" customHeight="1">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ht="13.5" customHeight="1">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ht="13.5" customHeight="1">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ht="13.5" customHeight="1">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ht="13.5" customHeight="1">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ht="13.5" customHeight="1">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ht="13.5" customHeight="1">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ht="13.5" customHeight="1">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ht="13.5" customHeight="1">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ht="13.5" customHeight="1">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ht="13.5" customHeight="1">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ht="13.5" customHeight="1">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ht="13.5" customHeight="1">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ht="13.5" customHeight="1">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ht="13.5" customHeight="1">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ht="13.5" customHeight="1">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ht="13.5" customHeight="1">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ht="13.5" customHeight="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ht="13.5" customHeight="1">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ht="13.5" customHeight="1">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ht="13.5" customHeight="1">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ht="13.5" customHeight="1">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ht="13.5" customHeight="1">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ht="13.5" customHeight="1">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ht="13.5" customHeight="1">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ht="13.5" customHeight="1">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ht="13.5" customHeight="1">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ht="13.5" customHeight="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ht="13.5" customHeight="1">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ht="13.5" customHeight="1">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ht="13.5" customHeight="1">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ht="13.5" customHeight="1">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ht="13.5" customHeight="1">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ht="13.5" customHeight="1">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ht="13.5" customHeight="1">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ht="13.5" customHeight="1">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ht="13.5" customHeight="1">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ht="13.5" customHeight="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9">
    <mergeCell ref="G1:I1"/>
    <mergeCell ref="F2:J2"/>
    <mergeCell ref="F4:L15"/>
    <mergeCell ref="A18:D18"/>
    <mergeCell ref="C21:K22"/>
    <mergeCell ref="C25:D25"/>
    <mergeCell ref="F25:G25"/>
    <mergeCell ref="F53:G53"/>
    <mergeCell ref="I53:J53"/>
    <mergeCell ref="H61:L73"/>
    <mergeCell ref="L53:M53"/>
    <mergeCell ref="O53:P53"/>
    <mergeCell ref="I25:J25"/>
    <mergeCell ref="L25:M25"/>
    <mergeCell ref="O25:P25"/>
    <mergeCell ref="H33:L45"/>
    <mergeCell ref="A46:D46"/>
    <mergeCell ref="C49:K50"/>
    <mergeCell ref="C53:D5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8.71"/>
  </cols>
  <sheetData>
    <row r="1" ht="14.25" customHeight="1">
      <c r="A1" s="45" t="s">
        <v>124</v>
      </c>
    </row>
    <row r="2" ht="14.25" customHeight="1">
      <c r="A2" s="115"/>
      <c r="B2" s="115"/>
      <c r="C2" s="115"/>
      <c r="D2" s="115"/>
      <c r="E2" s="115"/>
      <c r="F2" s="115"/>
      <c r="G2" s="115"/>
      <c r="H2" s="115"/>
      <c r="I2" s="115"/>
      <c r="J2" s="115"/>
    </row>
    <row r="3" ht="14.25" customHeight="1">
      <c r="A3" s="116" t="s">
        <v>125</v>
      </c>
      <c r="G3" s="115"/>
      <c r="H3" s="115"/>
      <c r="I3" s="115"/>
      <c r="J3" s="115"/>
    </row>
    <row r="4" ht="18.75" customHeight="1">
      <c r="A4" s="117"/>
      <c r="J4" s="115"/>
    </row>
    <row r="5" ht="14.25" customHeight="1">
      <c r="J5" s="115"/>
    </row>
    <row r="6" ht="14.25" customHeight="1">
      <c r="J6" s="115"/>
    </row>
    <row r="7" ht="14.25" customHeight="1">
      <c r="J7" s="115"/>
    </row>
    <row r="8" ht="14.25" customHeight="1">
      <c r="J8" s="115"/>
    </row>
    <row r="9" ht="14.25" customHeight="1">
      <c r="J9" s="115"/>
    </row>
    <row r="10" ht="14.25" customHeight="1">
      <c r="J10" s="115"/>
    </row>
    <row r="11" ht="14.25" customHeight="1">
      <c r="J11" s="115"/>
    </row>
    <row r="12" ht="14.25" customHeight="1">
      <c r="J12" s="115"/>
    </row>
    <row r="13" ht="14.25" customHeight="1">
      <c r="J13" s="115"/>
    </row>
    <row r="14" ht="14.25" customHeight="1">
      <c r="J14" s="115"/>
    </row>
    <row r="15" ht="14.25" customHeight="1">
      <c r="J15" s="115"/>
    </row>
    <row r="16" ht="14.25" customHeight="1">
      <c r="A16" s="115"/>
      <c r="B16" s="115"/>
      <c r="C16" s="115"/>
      <c r="D16" s="115"/>
      <c r="E16" s="115"/>
      <c r="F16" s="115"/>
      <c r="G16" s="115"/>
      <c r="H16" s="115"/>
      <c r="I16" s="115"/>
      <c r="J16" s="115"/>
    </row>
    <row r="17" ht="14.25" customHeight="1">
      <c r="A17" s="115"/>
      <c r="B17" s="115"/>
      <c r="C17" s="115"/>
      <c r="D17" s="115"/>
      <c r="E17" s="115"/>
      <c r="F17" s="115"/>
      <c r="G17" s="115"/>
      <c r="H17" s="115"/>
      <c r="I17" s="115"/>
      <c r="J17" s="115"/>
    </row>
    <row r="18" ht="14.25" customHeight="1">
      <c r="A18" s="115" t="s">
        <v>126</v>
      </c>
      <c r="B18" s="34"/>
      <c r="C18" s="34"/>
      <c r="D18" s="34"/>
      <c r="E18" s="115"/>
      <c r="F18" s="115"/>
      <c r="G18" s="115"/>
      <c r="H18" s="115"/>
      <c r="I18" s="115"/>
      <c r="J18" s="115"/>
    </row>
    <row r="19" ht="18.75" customHeight="1">
      <c r="A19" s="117"/>
    </row>
    <row r="20" ht="18.75" customHeight="1"/>
    <row r="21" ht="18.75" customHeight="1"/>
    <row r="22" ht="18.75" customHeight="1"/>
    <row r="23" ht="18.75" customHeight="1"/>
    <row r="24" ht="18.75" customHeight="1"/>
    <row r="25" ht="18.75" customHeight="1"/>
    <row r="26" ht="18.75" customHeight="1"/>
    <row r="27" ht="18.75" customHeight="1"/>
    <row r="28" ht="18.75" customHeight="1"/>
    <row r="29" ht="18.75" customHeight="1"/>
    <row r="30" ht="18.75" customHeight="1"/>
    <row r="31" ht="18.75" customHeight="1"/>
    <row r="32" ht="14.25" customHeight="1">
      <c r="A32" s="115"/>
      <c r="B32" s="115"/>
      <c r="C32" s="115"/>
      <c r="D32" s="115"/>
      <c r="E32" s="115"/>
      <c r="F32" s="115"/>
      <c r="G32" s="115"/>
      <c r="H32" s="115"/>
      <c r="I32" s="115"/>
      <c r="J32" s="115"/>
    </row>
    <row r="33" ht="14.25" customHeight="1">
      <c r="A33" s="115"/>
      <c r="B33" s="115"/>
      <c r="C33" s="115"/>
      <c r="D33" s="115"/>
      <c r="E33" s="115"/>
      <c r="F33" s="115"/>
      <c r="G33" s="115"/>
      <c r="H33" s="115"/>
      <c r="I33" s="115"/>
      <c r="J33" s="115"/>
    </row>
    <row r="34" ht="14.25" customHeight="1">
      <c r="A34" s="115" t="s">
        <v>127</v>
      </c>
      <c r="B34" s="115"/>
      <c r="C34" s="115"/>
      <c r="D34" s="115"/>
      <c r="E34" s="115"/>
      <c r="F34" s="115"/>
      <c r="G34" s="115"/>
      <c r="H34" s="115"/>
      <c r="I34" s="115"/>
      <c r="J34" s="115"/>
    </row>
    <row r="35" ht="18.75" customHeight="1">
      <c r="A35" s="117"/>
      <c r="J35" s="115"/>
    </row>
    <row r="36" ht="14.25" customHeight="1">
      <c r="J36" s="115"/>
    </row>
    <row r="37" ht="14.25" customHeight="1">
      <c r="J37" s="115"/>
    </row>
    <row r="38" ht="14.25" customHeight="1">
      <c r="J38" s="115"/>
    </row>
    <row r="39" ht="14.25" customHeight="1">
      <c r="J39" s="115"/>
    </row>
    <row r="40" ht="14.25" customHeight="1">
      <c r="J40" s="115"/>
    </row>
    <row r="41" ht="14.25" customHeight="1">
      <c r="J41" s="115"/>
    </row>
    <row r="42" ht="14.25" customHeight="1">
      <c r="J42" s="115"/>
    </row>
    <row r="43" ht="14.25" customHeight="1">
      <c r="J43" s="115"/>
    </row>
    <row r="44" ht="14.25" customHeight="1">
      <c r="J44" s="115"/>
    </row>
    <row r="45" ht="14.25" customHeight="1">
      <c r="J45" s="115"/>
    </row>
    <row r="46" ht="14.25" customHeight="1">
      <c r="J46" s="115"/>
    </row>
    <row r="47" ht="14.25" customHeight="1">
      <c r="J47" s="115"/>
    </row>
    <row r="48" ht="14.25" customHeight="1">
      <c r="A48" s="115"/>
      <c r="B48" s="115"/>
      <c r="C48" s="115"/>
      <c r="D48" s="115"/>
      <c r="E48" s="115"/>
      <c r="F48" s="115"/>
      <c r="G48" s="115"/>
      <c r="H48" s="115"/>
      <c r="I48" s="115"/>
      <c r="J48" s="115"/>
    </row>
    <row r="49" ht="14.25" customHeight="1">
      <c r="A49" s="115"/>
      <c r="B49" s="115"/>
      <c r="C49" s="115"/>
      <c r="D49" s="115"/>
      <c r="E49" s="115"/>
      <c r="F49" s="115"/>
      <c r="G49" s="115"/>
      <c r="H49" s="115"/>
      <c r="I49" s="115"/>
      <c r="J49" s="115"/>
    </row>
    <row r="50" ht="14.25" customHeight="1">
      <c r="A50" s="115" t="s">
        <v>128</v>
      </c>
      <c r="B50" s="34"/>
      <c r="C50" s="34"/>
      <c r="D50" s="34"/>
      <c r="E50" s="115"/>
      <c r="F50" s="115"/>
      <c r="G50" s="115"/>
      <c r="H50" s="115"/>
      <c r="I50" s="115"/>
      <c r="J50" s="115"/>
    </row>
    <row r="51" ht="18.75" customHeight="1">
      <c r="A51" s="117"/>
    </row>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T1"/>
    <mergeCell ref="A3:F3"/>
    <mergeCell ref="A4:I15"/>
    <mergeCell ref="A19:J31"/>
    <mergeCell ref="A35:I47"/>
    <mergeCell ref="A51:K6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2025-10-18T10:20:25Z</dcterms:created>
  <dc:creator>hadir ali</dc:creator>
</cp:coreProperties>
</file>